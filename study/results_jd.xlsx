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4"/>
  </sheets>
  <definedNames/>
  <calcPr/>
  <extLst>
    <ext uri="GoogleSheetsCustomDataVersion2">
      <go:sheetsCustomData xmlns:go="http://customooxmlschemas.google.com/" r:id="rId5" roundtripDataChecksum="+A4b/jveWLa9Er5sgokG/aT00UyFoI+/SboxjbziQDU="/>
    </ext>
  </extLst>
</workbook>
</file>

<file path=xl/sharedStrings.xml><?xml version="1.0" encoding="utf-8"?>
<sst xmlns="http://schemas.openxmlformats.org/spreadsheetml/2006/main" count="184" uniqueCount="143">
  <si>
    <t>ID</t>
  </si>
  <si>
    <t>Class Name</t>
  </si>
  <si>
    <t>GRI Context</t>
  </si>
  <si>
    <t>AGRI Context</t>
  </si>
  <si>
    <t>BCubed F1 Context</t>
  </si>
  <si>
    <t>GRI No Context</t>
  </si>
  <si>
    <t>AGRI No Context</t>
  </si>
  <si>
    <t>BCubed F1 No Context</t>
  </si>
  <si>
    <t>LOC</t>
  </si>
  <si>
    <t>METHODS</t>
  </si>
  <si>
    <t>CANDIDATES (JD)</t>
  </si>
  <si>
    <t>CANDIDATES CTX</t>
  </si>
  <si>
    <t>CANDIDATES NO CTX</t>
  </si>
  <si>
    <t>reitti-1</t>
  </si>
  <si>
    <t>CustomOidcUserService</t>
  </si>
  <si>
    <t>Results Per Project</t>
  </si>
  <si>
    <t>GRI +/- %</t>
  </si>
  <si>
    <t xml:space="preserve"> AGRI +/- %</t>
  </si>
  <si>
    <t>BCubed F1 +/- %</t>
  </si>
  <si>
    <t>reitti-2</t>
  </si>
  <si>
    <t>ImportBatchProcessor</t>
  </si>
  <si>
    <t>reitti</t>
  </si>
  <si>
    <t>reitti-3</t>
  </si>
  <si>
    <t>ManageDataController</t>
  </si>
  <si>
    <t>bfscan</t>
  </si>
  <si>
    <t>reitti-4</t>
  </si>
  <si>
    <t>MemoryBlockController</t>
  </si>
  <si>
    <t>jquick</t>
  </si>
  <si>
    <t>reitti-5</t>
  </si>
  <si>
    <t>OwntracksLocationRequest</t>
  </si>
  <si>
    <t>pigeon</t>
  </si>
  <si>
    <t>reitti-6</t>
  </si>
  <si>
    <t>SettingsVisitSensitivityController</t>
  </si>
  <si>
    <t>jtoon</t>
  </si>
  <si>
    <t>reitti-7</t>
  </si>
  <si>
    <t>TimelineController</t>
  </si>
  <si>
    <t>joysafety</t>
  </si>
  <si>
    <t>reitti-8</t>
  </si>
  <si>
    <t>TransportationModesController</t>
  </si>
  <si>
    <t>reitti-9</t>
  </si>
  <si>
    <t>UnifiedLocationProcessingService</t>
  </si>
  <si>
    <t>reitti-10</t>
  </si>
  <si>
    <t>UserSettingsControllerTest</t>
  </si>
  <si>
    <t>reitti-11</t>
  </si>
  <si>
    <t>UserSettingsController</t>
  </si>
  <si>
    <t>Results Total</t>
  </si>
  <si>
    <t>reitti-12</t>
  </si>
  <si>
    <t>TestingService</t>
  </si>
  <si>
    <t>reitti-13</t>
  </si>
  <si>
    <t>MemoryService</t>
  </si>
  <si>
    <t>reitti-14</t>
  </si>
  <si>
    <t>IntegrationsSettingsController</t>
  </si>
  <si>
    <t>reitti-15</t>
  </si>
  <si>
    <t>ImmichIntegrationService</t>
  </si>
  <si>
    <t>reitti-16</t>
  </si>
  <si>
    <t>TimelineService</t>
  </si>
  <si>
    <t>reitti-17</t>
  </si>
  <si>
    <t>LocationDataDensityNormalizerTest</t>
  </si>
  <si>
    <t>reitti-18</t>
  </si>
  <si>
    <t>UserSettingsJdbcServiceTest</t>
  </si>
  <si>
    <t>reitti-19</t>
  </si>
  <si>
    <t>LocationDataApiController</t>
  </si>
  <si>
    <t>reitti avg</t>
  </si>
  <si>
    <t>reitti-20</t>
  </si>
  <si>
    <t>ApiTokenJdbcService</t>
  </si>
  <si>
    <t>bfscan-1</t>
  </si>
  <si>
    <t>HTTPRequestProcessor</t>
  </si>
  <si>
    <t>bfscan-2</t>
  </si>
  <si>
    <t>ConstantsProcessor</t>
  </si>
  <si>
    <t>bfscan-3</t>
  </si>
  <si>
    <t>ResourceProcessor</t>
  </si>
  <si>
    <t>bfscan avg</t>
  </si>
  <si>
    <t>bfscan-4</t>
  </si>
  <si>
    <t>MultiHTTPRequest</t>
  </si>
  <si>
    <t>jquick-1</t>
  </si>
  <si>
    <t>JQuickLangCoreVisitor</t>
  </si>
  <si>
    <t>jquick avg</t>
  </si>
  <si>
    <t>jquick-2</t>
  </si>
  <si>
    <t>VariableContext</t>
  </si>
  <si>
    <t>pigeon-1</t>
  </si>
  <si>
    <t>DownloadHandler</t>
  </si>
  <si>
    <t>pigeon-2</t>
  </si>
  <si>
    <t>YoutubeVideoHelper</t>
  </si>
  <si>
    <t>pigeon-3</t>
  </si>
  <si>
    <t>EpisodeEventListener</t>
  </si>
  <si>
    <t>pigeon-4</t>
  </si>
  <si>
    <t>MediaService</t>
  </si>
  <si>
    <t>pigeon-5</t>
  </si>
  <si>
    <t>AbstractFeedService</t>
  </si>
  <si>
    <t>pigeon-6</t>
  </si>
  <si>
    <t>RssService</t>
  </si>
  <si>
    <t>pigeon-7</t>
  </si>
  <si>
    <t>ChannelService</t>
  </si>
  <si>
    <t>pigeon-8</t>
  </si>
  <si>
    <t>PlaylistService</t>
  </si>
  <si>
    <t>pigeon avg</t>
  </si>
  <si>
    <t>pigeon-9</t>
  </si>
  <si>
    <t>EpisodeService</t>
  </si>
  <si>
    <t>jtoon-1</t>
  </si>
  <si>
    <t>ArrayEncoderTest</t>
  </si>
  <si>
    <t>jtoon avg</t>
  </si>
  <si>
    <t>jtoon-2</t>
  </si>
  <si>
    <t>computeLeadingSpaces</t>
  </si>
  <si>
    <t>joysafety-admin-1</t>
  </si>
  <si>
    <t>DagConfigServiceImpl</t>
  </si>
  <si>
    <t>joysafety-admin-2</t>
  </si>
  <si>
    <t>DefenseConfigApiController</t>
  </si>
  <si>
    <t>joysafety-admin-3</t>
  </si>
  <si>
    <t>joysafety-admin-4</t>
  </si>
  <si>
    <t>BusinessInfoWithBLOBs</t>
  </si>
  <si>
    <t>joysafety-admin-5</t>
  </si>
  <si>
    <t>ExecuteDagConf</t>
  </si>
  <si>
    <t>joysafety-admin-6</t>
  </si>
  <si>
    <t>FunctionConf</t>
  </si>
  <si>
    <t>joysafety-admin-7</t>
  </si>
  <si>
    <t>PlatformDict</t>
  </si>
  <si>
    <t>joysafety-admin-8</t>
  </si>
  <si>
    <t>RedLineKnowledge</t>
  </si>
  <si>
    <t>joysafety-admin-9</t>
  </si>
  <si>
    <t>RedLineKnowledgeWithBLOBs</t>
  </si>
  <si>
    <t>joysafety-api-1</t>
  </si>
  <si>
    <t>GlobalConf</t>
  </si>
  <si>
    <t>joysafety-api-2</t>
  </si>
  <si>
    <t>MultiTurnDetectFunction</t>
  </si>
  <si>
    <t>joysafety-api-3</t>
  </si>
  <si>
    <t>DefenseApiServiceImpl</t>
  </si>
  <si>
    <t>joysafety-api-4</t>
  </si>
  <si>
    <t>FunctionExecutorImpl</t>
  </si>
  <si>
    <t>joysafety-api-5</t>
  </si>
  <si>
    <t>SessionServiceImpl</t>
  </si>
  <si>
    <t>joysafety-api-6</t>
  </si>
  <si>
    <t>RedisStorageService</t>
  </si>
  <si>
    <t>joysafety-basic-1</t>
  </si>
  <si>
    <t>Node</t>
  </si>
  <si>
    <t>joysafety-basic-2</t>
  </si>
  <si>
    <t>SessionContext</t>
  </si>
  <si>
    <t>joysafety avg</t>
  </si>
  <si>
    <t>joysafety-basic-3</t>
  </si>
  <si>
    <t>DefenseApiRequest</t>
  </si>
  <si>
    <t>ΤΕΛΙΚΟ</t>
  </si>
  <si>
    <t>V0</t>
  </si>
  <si>
    <t>V1</t>
  </si>
  <si>
    <t>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</si>
</sst>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  <fill>
      <patternFill patternType="solid">
        <fgColor rgb="FF999999"/>
        <bgColor rgb="FF999999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C00000"/>
        <bgColor rgb="FFC00000"/>
      </patternFill>
    </fill>
    <fill>
      <patternFill patternType="solid">
        <fgColor rgb="FFA5A5A5"/>
        <bgColor rgb="FFA5A5A5"/>
      </patternFill>
    </fill>
    <fill>
      <patternFill patternType="solid">
        <fgColor rgb="FFC1F0C8"/>
        <bgColor rgb="FFC1F0C8"/>
      </patternFill>
    </fill>
    <fill>
      <patternFill patternType="solid">
        <fgColor rgb="FFF1A983"/>
        <bgColor rgb="FFF1A983"/>
      </patternFill>
    </fill>
    <fill>
      <patternFill patternType="solid">
        <fgColor rgb="FFCAEDFB"/>
        <bgColor rgb="FFCAEDFB"/>
      </patternFill>
    </fill>
    <fill>
      <patternFill patternType="solid">
        <fgColor rgb="FFBF4F14"/>
        <bgColor rgb="FFBF4F14"/>
      </patternFill>
    </fill>
    <fill>
      <patternFill patternType="solid">
        <fgColor rgb="FFFFD966"/>
        <bgColor rgb="FFFFD9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  <xf borderId="1" fillId="10" fontId="1" numFmtId="0" xfId="0" applyAlignment="1" applyBorder="1" applyFill="1" applyFont="1">
      <alignment horizontal="center"/>
    </xf>
    <xf borderId="3" fillId="8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/>
    </xf>
    <xf borderId="3" fillId="9" fontId="1" numFmtId="0" xfId="0" applyAlignment="1" applyBorder="1" applyFont="1">
      <alignment horizontal="center"/>
    </xf>
    <xf borderId="2" fillId="8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2" fillId="11" fontId="1" numFmtId="0" xfId="0" applyAlignment="1" applyBorder="1" applyFill="1" applyFont="1">
      <alignment horizontal="center"/>
    </xf>
    <xf borderId="0" fillId="12" fontId="1" numFmtId="0" xfId="0" applyAlignment="1" applyFill="1" applyFont="1">
      <alignment horizontal="center"/>
    </xf>
    <xf borderId="0" fillId="12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34.13"/>
    <col customWidth="1" min="3" max="3" width="13.13"/>
    <col customWidth="1" min="4" max="4" width="13.38"/>
    <col customWidth="1" min="5" max="5" width="18.63"/>
    <col customWidth="1" min="6" max="6" width="16.63"/>
    <col customWidth="1" min="7" max="7" width="18.0"/>
    <col customWidth="1" min="8" max="8" width="21.63"/>
    <col customWidth="1" min="9" max="12" width="19.38"/>
    <col customWidth="1" min="13" max="13" width="21.88"/>
    <col customWidth="1" min="14" max="18" width="19.38"/>
    <col customWidth="1" min="19" max="19" width="16.25"/>
    <col customWidth="1" min="20" max="20" width="13.75"/>
    <col customWidth="1" min="21" max="21" width="14.88"/>
    <col customWidth="1" min="22" max="22" width="18.63"/>
    <col customWidth="1" min="23" max="23" width="15.13"/>
    <col customWidth="1" min="24" max="24" width="16.5"/>
    <col customWidth="1" min="25" max="25" width="21.63"/>
    <col customWidth="1" min="26" max="26" width="14.88"/>
    <col customWidth="1" min="27" max="27" width="13.38"/>
    <col customWidth="1" min="28" max="28" width="18.38"/>
    <col customWidth="1" min="29" max="35" width="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15.75" customHeight="1">
      <c r="A2" s="5" t="s">
        <v>13</v>
      </c>
      <c r="B2" s="5" t="s">
        <v>14</v>
      </c>
      <c r="C2" s="6">
        <v>1.0</v>
      </c>
      <c r="D2" s="6">
        <v>1.0</v>
      </c>
      <c r="E2" s="6">
        <v>1.0</v>
      </c>
      <c r="F2" s="7">
        <v>0.1</v>
      </c>
      <c r="G2" s="7">
        <v>0.0816</v>
      </c>
      <c r="H2" s="7">
        <v>0.4</v>
      </c>
      <c r="I2" s="4">
        <v>169.0</v>
      </c>
      <c r="J2" s="4">
        <v>5.0</v>
      </c>
      <c r="K2" s="4">
        <v>1.0</v>
      </c>
      <c r="L2" s="4">
        <v>1.0</v>
      </c>
      <c r="M2" s="4">
        <v>3.0</v>
      </c>
      <c r="N2" s="5"/>
      <c r="O2" s="5"/>
      <c r="P2" s="5"/>
      <c r="Q2" s="5"/>
      <c r="R2" s="5"/>
      <c r="S2" s="8" t="s">
        <v>15</v>
      </c>
      <c r="T2" s="1" t="s">
        <v>2</v>
      </c>
      <c r="U2" s="1" t="s">
        <v>3</v>
      </c>
      <c r="V2" s="1" t="s">
        <v>4</v>
      </c>
      <c r="W2" s="1" t="s">
        <v>5</v>
      </c>
      <c r="X2" s="1" t="s">
        <v>6</v>
      </c>
      <c r="Y2" s="1" t="s">
        <v>7</v>
      </c>
      <c r="Z2" s="9" t="s">
        <v>16</v>
      </c>
      <c r="AA2" s="9" t="s">
        <v>17</v>
      </c>
      <c r="AB2" s="9" t="s">
        <v>18</v>
      </c>
      <c r="AC2" s="5"/>
      <c r="AD2" s="5"/>
      <c r="AE2" s="5"/>
      <c r="AF2" s="5"/>
      <c r="AG2" s="5"/>
      <c r="AH2" s="5"/>
      <c r="AI2" s="5"/>
    </row>
    <row r="3" ht="15.75" customHeight="1">
      <c r="A3" s="5" t="s">
        <v>19</v>
      </c>
      <c r="B3" s="5" t="s">
        <v>20</v>
      </c>
      <c r="C3" s="6">
        <v>0.25</v>
      </c>
      <c r="D3" s="6">
        <v>-0.09</v>
      </c>
      <c r="E3" s="6">
        <v>0.3281</v>
      </c>
      <c r="F3" s="7">
        <v>0.5556</v>
      </c>
      <c r="G3" s="7">
        <v>0.1724</v>
      </c>
      <c r="H3" s="7">
        <v>0.5</v>
      </c>
      <c r="I3" s="4">
        <v>388.0</v>
      </c>
      <c r="J3" s="4">
        <v>10.0</v>
      </c>
      <c r="K3" s="4">
        <v>2.0</v>
      </c>
      <c r="L3" s="4">
        <v>2.0</v>
      </c>
      <c r="M3" s="4">
        <v>3.0</v>
      </c>
      <c r="N3" s="5"/>
      <c r="O3" s="5"/>
      <c r="P3" s="5"/>
      <c r="Q3" s="5"/>
      <c r="R3" s="5"/>
      <c r="S3" s="5" t="s">
        <v>21</v>
      </c>
      <c r="T3" s="10">
        <f t="shared" ref="T3:Y3" si="1">SUM(C2:C21)/20</f>
        <v>0.27562</v>
      </c>
      <c r="U3" s="10">
        <f t="shared" si="1"/>
        <v>0.0934</v>
      </c>
      <c r="V3" s="10">
        <f t="shared" si="1"/>
        <v>0.420125</v>
      </c>
      <c r="W3" s="7">
        <f t="shared" si="1"/>
        <v>0.181675</v>
      </c>
      <c r="X3" s="7">
        <f t="shared" si="1"/>
        <v>0.048565</v>
      </c>
      <c r="Y3" s="7">
        <f t="shared" si="1"/>
        <v>0.321355</v>
      </c>
      <c r="Z3" s="11">
        <f t="shared" ref="Z3:AB3" si="2">((T3-W3)/W3)*100</f>
        <v>51.710472</v>
      </c>
      <c r="AA3" s="11">
        <f t="shared" si="2"/>
        <v>92.31957171</v>
      </c>
      <c r="AB3" s="11">
        <f t="shared" si="2"/>
        <v>30.73547945</v>
      </c>
      <c r="AC3" s="5"/>
      <c r="AD3" s="5"/>
      <c r="AE3" s="5"/>
      <c r="AF3" s="5"/>
      <c r="AG3" s="5"/>
      <c r="AH3" s="5"/>
      <c r="AI3" s="5"/>
    </row>
    <row r="4" ht="15.75" customHeight="1">
      <c r="A4" s="5" t="s">
        <v>22</v>
      </c>
      <c r="B4" s="5" t="s">
        <v>23</v>
      </c>
      <c r="C4" s="6">
        <v>0.0294</v>
      </c>
      <c r="D4" s="6">
        <v>0.017</v>
      </c>
      <c r="E4" s="6">
        <v>0.2286</v>
      </c>
      <c r="F4" s="7">
        <v>0.0476</v>
      </c>
      <c r="G4" s="7">
        <v>0.0345</v>
      </c>
      <c r="H4" s="7">
        <v>0.2286</v>
      </c>
      <c r="I4" s="4">
        <v>163.0</v>
      </c>
      <c r="J4" s="4">
        <v>8.0</v>
      </c>
      <c r="K4" s="4">
        <v>1.0</v>
      </c>
      <c r="L4" s="4">
        <v>3.0</v>
      </c>
      <c r="M4" s="4">
        <v>3.0</v>
      </c>
      <c r="N4" s="5"/>
      <c r="O4" s="5"/>
      <c r="P4" s="5"/>
      <c r="Q4" s="5"/>
      <c r="R4" s="5"/>
      <c r="S4" s="5" t="s">
        <v>24</v>
      </c>
      <c r="T4" s="10">
        <f t="shared" ref="T4:Y4" si="3">SUM(C22:C25)/4</f>
        <v>0.097075</v>
      </c>
      <c r="U4" s="10">
        <f t="shared" si="3"/>
        <v>0.0366</v>
      </c>
      <c r="V4" s="10">
        <f t="shared" si="3"/>
        <v>0.285925</v>
      </c>
      <c r="W4" s="12">
        <f t="shared" si="3"/>
        <v>0.16995</v>
      </c>
      <c r="X4" s="12">
        <f t="shared" si="3"/>
        <v>0.097375</v>
      </c>
      <c r="Y4" s="12">
        <f t="shared" si="3"/>
        <v>0.356875</v>
      </c>
      <c r="Z4" s="11">
        <f t="shared" ref="Z4:AB4" si="4">((T4-W4)/W4)*100</f>
        <v>-42.8802589</v>
      </c>
      <c r="AA4" s="11">
        <f t="shared" si="4"/>
        <v>-62.41335045</v>
      </c>
      <c r="AB4" s="11">
        <f t="shared" si="4"/>
        <v>-19.88091068</v>
      </c>
      <c r="AC4" s="5"/>
      <c r="AD4" s="5"/>
      <c r="AE4" s="5"/>
      <c r="AF4" s="5"/>
      <c r="AG4" s="5"/>
      <c r="AH4" s="5"/>
      <c r="AI4" s="5"/>
    </row>
    <row r="5" ht="15.75" customHeight="1">
      <c r="A5" s="5" t="s">
        <v>25</v>
      </c>
      <c r="B5" s="5" t="s">
        <v>26</v>
      </c>
      <c r="C5" s="6">
        <v>0.1698</v>
      </c>
      <c r="D5" s="6">
        <v>-0.0783</v>
      </c>
      <c r="E5" s="6">
        <v>0.2917</v>
      </c>
      <c r="F5" s="7">
        <v>0.1057</v>
      </c>
      <c r="G5" s="7">
        <v>0.0065</v>
      </c>
      <c r="H5" s="7">
        <v>0.1919</v>
      </c>
      <c r="I5" s="4">
        <v>504.0</v>
      </c>
      <c r="J5" s="4">
        <v>15.0</v>
      </c>
      <c r="K5" s="4">
        <v>2.0</v>
      </c>
      <c r="L5" s="4">
        <v>4.0</v>
      </c>
      <c r="M5" s="4">
        <v>4.0</v>
      </c>
      <c r="N5" s="5"/>
      <c r="O5" s="5"/>
      <c r="P5" s="5"/>
      <c r="Q5" s="5"/>
      <c r="R5" s="5"/>
      <c r="S5" s="5" t="s">
        <v>27</v>
      </c>
      <c r="T5" s="10">
        <f t="shared" ref="T5:Y5" si="5">SUM(C26+C27)/2</f>
        <v>0.25925</v>
      </c>
      <c r="U5" s="10">
        <f t="shared" si="5"/>
        <v>0.1741</v>
      </c>
      <c r="V5" s="10">
        <f t="shared" si="5"/>
        <v>0.4456</v>
      </c>
      <c r="W5" s="7">
        <f t="shared" si="5"/>
        <v>0.2591</v>
      </c>
      <c r="X5" s="7">
        <f t="shared" si="5"/>
        <v>0.1733</v>
      </c>
      <c r="Y5" s="7">
        <f t="shared" si="5"/>
        <v>0.4356</v>
      </c>
      <c r="Z5" s="11">
        <f t="shared" ref="Z5:AB5" si="6">((T5-W5)/W5)*100</f>
        <v>0.05789270552</v>
      </c>
      <c r="AA5" s="11">
        <f t="shared" si="6"/>
        <v>0.461627236</v>
      </c>
      <c r="AB5" s="11">
        <f t="shared" si="6"/>
        <v>2.295684114</v>
      </c>
      <c r="AC5" s="5"/>
      <c r="AD5" s="5"/>
      <c r="AE5" s="5"/>
      <c r="AF5" s="5"/>
      <c r="AG5" s="5"/>
      <c r="AH5" s="5"/>
      <c r="AI5" s="5"/>
    </row>
    <row r="6" ht="15.75" customHeight="1">
      <c r="A6" s="5" t="s">
        <v>28</v>
      </c>
      <c r="B6" s="5" t="s">
        <v>29</v>
      </c>
      <c r="C6" s="6">
        <v>0.0</v>
      </c>
      <c r="D6" s="6">
        <v>0.0</v>
      </c>
      <c r="E6" s="6">
        <v>0.0317</v>
      </c>
      <c r="F6" s="7">
        <v>0.0</v>
      </c>
      <c r="G6" s="7">
        <v>0.0</v>
      </c>
      <c r="H6" s="7">
        <v>0.0357</v>
      </c>
      <c r="I6" s="4">
        <v>146.0</v>
      </c>
      <c r="J6" s="4">
        <v>22.0</v>
      </c>
      <c r="K6" s="4">
        <v>1.0</v>
      </c>
      <c r="L6" s="4">
        <v>2.0</v>
      </c>
      <c r="M6" s="4">
        <v>2.0</v>
      </c>
      <c r="N6" s="5"/>
      <c r="O6" s="5"/>
      <c r="P6" s="5"/>
      <c r="Q6" s="5"/>
      <c r="R6" s="5"/>
      <c r="S6" s="5" t="s">
        <v>30</v>
      </c>
      <c r="T6" s="10">
        <f t="shared" ref="T6:Y6" si="7">SUM(C28:C36)/9</f>
        <v>0.2477555556</v>
      </c>
      <c r="U6" s="10">
        <f t="shared" si="7"/>
        <v>0.1146333333</v>
      </c>
      <c r="V6" s="10">
        <f t="shared" si="7"/>
        <v>0.4299222222</v>
      </c>
      <c r="W6" s="7">
        <f t="shared" si="7"/>
        <v>0.226</v>
      </c>
      <c r="X6" s="7">
        <f t="shared" si="7"/>
        <v>0.09262222222</v>
      </c>
      <c r="Y6" s="7">
        <f t="shared" si="7"/>
        <v>0.4222777778</v>
      </c>
      <c r="Z6" s="11">
        <f t="shared" ref="Z6:AB6" si="8">((T6-W6)/W6)*100</f>
        <v>9.626352016</v>
      </c>
      <c r="AA6" s="11">
        <f t="shared" si="8"/>
        <v>23.76439539</v>
      </c>
      <c r="AB6" s="11">
        <f t="shared" si="8"/>
        <v>1.81028812</v>
      </c>
      <c r="AC6" s="5"/>
      <c r="AD6" s="5"/>
      <c r="AE6" s="5"/>
      <c r="AF6" s="5"/>
      <c r="AG6" s="5"/>
      <c r="AH6" s="5"/>
      <c r="AI6" s="5"/>
    </row>
    <row r="7" ht="15.75" customHeight="1">
      <c r="A7" s="5" t="s">
        <v>31</v>
      </c>
      <c r="B7" s="5" t="s">
        <v>32</v>
      </c>
      <c r="C7" s="6">
        <v>0.3737</v>
      </c>
      <c r="D7" s="6">
        <v>0.02</v>
      </c>
      <c r="E7" s="6">
        <v>0.4102</v>
      </c>
      <c r="F7" s="7">
        <v>0.202</v>
      </c>
      <c r="G7" s="7">
        <v>-0.025</v>
      </c>
      <c r="H7" s="7">
        <v>0.2367</v>
      </c>
      <c r="I7" s="4">
        <v>310.0</v>
      </c>
      <c r="J7" s="4">
        <v>11.0</v>
      </c>
      <c r="K7" s="4">
        <v>2.0</v>
      </c>
      <c r="L7" s="4">
        <v>4.0</v>
      </c>
      <c r="M7" s="4">
        <v>5.0</v>
      </c>
      <c r="N7" s="5"/>
      <c r="O7" s="5"/>
      <c r="P7" s="5"/>
      <c r="Q7" s="5"/>
      <c r="R7" s="5"/>
      <c r="S7" s="5" t="s">
        <v>33</v>
      </c>
      <c r="T7" s="10">
        <f t="shared" ref="T7:Y7" si="9">SUM(C37+C38)/2</f>
        <v>0.5204</v>
      </c>
      <c r="U7" s="10">
        <f t="shared" si="9"/>
        <v>0.5131</v>
      </c>
      <c r="V7" s="10">
        <f t="shared" si="9"/>
        <v>0.6406</v>
      </c>
      <c r="W7" s="7">
        <f t="shared" si="9"/>
        <v>0.33335</v>
      </c>
      <c r="X7" s="7">
        <f t="shared" si="9"/>
        <v>0.23725</v>
      </c>
      <c r="Y7" s="7">
        <f t="shared" si="9"/>
        <v>0.3869</v>
      </c>
      <c r="Z7" s="11">
        <f t="shared" ref="Z7:AB7" si="10">((T7-W7)/W7)*100</f>
        <v>56.11219439</v>
      </c>
      <c r="AA7" s="11">
        <f t="shared" si="10"/>
        <v>116.2697576</v>
      </c>
      <c r="AB7" s="11">
        <f t="shared" si="10"/>
        <v>65.57249935</v>
      </c>
      <c r="AC7" s="5"/>
      <c r="AD7" s="5"/>
      <c r="AE7" s="5"/>
      <c r="AF7" s="5"/>
      <c r="AG7" s="5"/>
      <c r="AH7" s="5"/>
      <c r="AI7" s="5"/>
    </row>
    <row r="8" ht="15.75" customHeight="1">
      <c r="A8" s="5" t="s">
        <v>34</v>
      </c>
      <c r="B8" s="4" t="s">
        <v>35</v>
      </c>
      <c r="C8" s="6">
        <v>0.4531</v>
      </c>
      <c r="D8" s="6">
        <v>0.125</v>
      </c>
      <c r="E8" s="6">
        <v>0.7037</v>
      </c>
      <c r="F8" s="7">
        <v>0.5156</v>
      </c>
      <c r="G8" s="7">
        <v>0.225</v>
      </c>
      <c r="H8" s="7">
        <v>0.7931</v>
      </c>
      <c r="I8" s="4">
        <v>198.0</v>
      </c>
      <c r="J8" s="4">
        <v>5.0</v>
      </c>
      <c r="K8" s="4">
        <v>3.0</v>
      </c>
      <c r="L8" s="4">
        <v>4.0</v>
      </c>
      <c r="M8" s="4">
        <v>3.0</v>
      </c>
      <c r="N8" s="5"/>
      <c r="O8" s="5"/>
      <c r="P8" s="5"/>
      <c r="Q8" s="5"/>
      <c r="R8" s="5"/>
      <c r="S8" s="5" t="s">
        <v>36</v>
      </c>
      <c r="T8" s="13">
        <f t="shared" ref="T8:Y8" si="11">SUM(C39:C56)/18</f>
        <v>0.1570666667</v>
      </c>
      <c r="U8" s="13">
        <f t="shared" si="11"/>
        <v>0.09486388889</v>
      </c>
      <c r="V8" s="13">
        <f t="shared" si="11"/>
        <v>0.2617166667</v>
      </c>
      <c r="W8" s="14">
        <f t="shared" si="11"/>
        <v>0.1698333333</v>
      </c>
      <c r="X8" s="14">
        <f t="shared" si="11"/>
        <v>0.1122777778</v>
      </c>
      <c r="Y8" s="14">
        <f t="shared" si="11"/>
        <v>0.2751111111</v>
      </c>
      <c r="Z8" s="15">
        <f t="shared" ref="Z8:AB8" si="12">((T8-W8)/W8)*100</f>
        <v>-7.5171737</v>
      </c>
      <c r="AA8" s="15">
        <f t="shared" si="12"/>
        <v>-15.50964869</v>
      </c>
      <c r="AB8" s="15">
        <f t="shared" si="12"/>
        <v>-4.868739903</v>
      </c>
      <c r="AC8" s="5"/>
      <c r="AD8" s="5"/>
      <c r="AE8" s="5"/>
      <c r="AF8" s="5"/>
      <c r="AG8" s="5"/>
      <c r="AH8" s="5"/>
      <c r="AI8" s="5"/>
    </row>
    <row r="9" ht="15.75" customHeight="1">
      <c r="A9" s="5" t="s">
        <v>37</v>
      </c>
      <c r="B9" s="4" t="s">
        <v>38</v>
      </c>
      <c r="C9" s="6">
        <v>0.5714</v>
      </c>
      <c r="D9" s="6">
        <v>0.3703</v>
      </c>
      <c r="E9" s="6">
        <v>0.7273</v>
      </c>
      <c r="F9" s="7">
        <v>0.1786</v>
      </c>
      <c r="G9" s="7">
        <v>0.0537</v>
      </c>
      <c r="H9" s="7">
        <v>0.2921</v>
      </c>
      <c r="I9" s="4">
        <v>227.0</v>
      </c>
      <c r="J9" s="4">
        <v>8.0</v>
      </c>
      <c r="K9" s="4">
        <v>2.0</v>
      </c>
      <c r="L9" s="4">
        <v>3.0</v>
      </c>
      <c r="M9" s="4">
        <v>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ht="15.75" customHeight="1">
      <c r="A10" s="5" t="s">
        <v>39</v>
      </c>
      <c r="B10" s="4" t="s">
        <v>40</v>
      </c>
      <c r="C10" s="6">
        <v>0.6044</v>
      </c>
      <c r="D10" s="6">
        <v>0.3681</v>
      </c>
      <c r="E10" s="6">
        <v>0.7009</v>
      </c>
      <c r="F10" s="7">
        <v>0.6044</v>
      </c>
      <c r="G10" s="7">
        <v>0.3681</v>
      </c>
      <c r="H10" s="7">
        <v>0.7009</v>
      </c>
      <c r="I10" s="4">
        <v>874.0</v>
      </c>
      <c r="J10" s="4">
        <v>18.0</v>
      </c>
      <c r="K10" s="4">
        <v>2.0</v>
      </c>
      <c r="L10" s="4">
        <v>4.0</v>
      </c>
      <c r="M10" s="4">
        <v>4.0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ht="15.75" customHeight="1">
      <c r="A11" s="5" t="s">
        <v>41</v>
      </c>
      <c r="B11" s="4" t="s">
        <v>42</v>
      </c>
      <c r="C11" s="6">
        <v>0.1417</v>
      </c>
      <c r="D11" s="6">
        <v>0.019</v>
      </c>
      <c r="E11" s="6">
        <v>0.2995</v>
      </c>
      <c r="F11" s="7">
        <v>0.0083</v>
      </c>
      <c r="G11" s="7">
        <v>0.001</v>
      </c>
      <c r="H11" s="7">
        <v>0.0261</v>
      </c>
      <c r="I11" s="4">
        <v>429.0</v>
      </c>
      <c r="J11" s="4">
        <v>22.0</v>
      </c>
      <c r="K11" s="4">
        <v>1.0</v>
      </c>
      <c r="L11" s="4">
        <v>4.0</v>
      </c>
      <c r="M11" s="4">
        <v>2.0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ht="15.75" customHeight="1">
      <c r="A12" s="5" t="s">
        <v>43</v>
      </c>
      <c r="B12" s="4" t="s">
        <v>44</v>
      </c>
      <c r="C12" s="6">
        <v>0.0714</v>
      </c>
      <c r="D12" s="6">
        <v>-0.0714</v>
      </c>
      <c r="E12" s="6">
        <v>0.1722</v>
      </c>
      <c r="F12" s="7">
        <v>0.0357</v>
      </c>
      <c r="G12" s="7">
        <v>-0.0584</v>
      </c>
      <c r="H12" s="7">
        <v>0.1186</v>
      </c>
      <c r="I12" s="4">
        <v>577.0</v>
      </c>
      <c r="J12" s="4">
        <v>13.0</v>
      </c>
      <c r="K12" s="4">
        <v>1.0</v>
      </c>
      <c r="L12" s="4">
        <v>3.0</v>
      </c>
      <c r="M12" s="4">
        <v>3.0</v>
      </c>
      <c r="N12" s="5"/>
      <c r="O12" s="5"/>
      <c r="P12" s="5"/>
      <c r="Q12" s="5"/>
      <c r="R12" s="5"/>
      <c r="S12" s="8" t="s">
        <v>45</v>
      </c>
      <c r="T12" s="16">
        <f t="shared" ref="T12:Y12" si="13">SUM(C2:C56)/55</f>
        <v>0.2275818182</v>
      </c>
      <c r="U12" s="16">
        <f t="shared" si="13"/>
        <v>0.1114190909</v>
      </c>
      <c r="V12" s="16">
        <f t="shared" si="13"/>
        <v>0.3690690909</v>
      </c>
      <c r="W12" s="17">
        <f t="shared" si="13"/>
        <v>0.1925309091</v>
      </c>
      <c r="X12" s="17">
        <f t="shared" si="13"/>
        <v>0.09157272727</v>
      </c>
      <c r="Y12" s="17">
        <f t="shared" si="13"/>
        <v>0.3318563636</v>
      </c>
      <c r="Z12" s="18">
        <f t="shared" ref="Z12:AB12" si="14">((T12-W12)/W12)*100</f>
        <v>18.20534129</v>
      </c>
      <c r="AA12" s="18">
        <f t="shared" si="14"/>
        <v>21.67278864</v>
      </c>
      <c r="AB12" s="18">
        <f t="shared" si="14"/>
        <v>11.2135042</v>
      </c>
      <c r="AC12" s="5"/>
      <c r="AD12" s="5"/>
      <c r="AE12" s="5"/>
      <c r="AF12" s="5"/>
      <c r="AG12" s="5"/>
      <c r="AH12" s="5"/>
      <c r="AI12" s="5"/>
    </row>
    <row r="13" ht="15.75" customHeight="1">
      <c r="A13" s="5" t="s">
        <v>46</v>
      </c>
      <c r="B13" s="4" t="s">
        <v>47</v>
      </c>
      <c r="C13" s="6">
        <v>0.4737</v>
      </c>
      <c r="D13" s="6">
        <v>-0.0526</v>
      </c>
      <c r="E13" s="6">
        <v>0.7805</v>
      </c>
      <c r="F13" s="7">
        <v>0.4211</v>
      </c>
      <c r="G13" s="7">
        <v>0.0351</v>
      </c>
      <c r="H13" s="7">
        <v>0.75</v>
      </c>
      <c r="I13" s="4">
        <v>171.0</v>
      </c>
      <c r="J13" s="4">
        <v>7.0</v>
      </c>
      <c r="K13" s="4">
        <v>2.0</v>
      </c>
      <c r="L13" s="4">
        <v>3.0</v>
      </c>
      <c r="M13" s="4">
        <v>3.0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ht="15.75" customHeight="1">
      <c r="A14" s="5" t="s">
        <v>48</v>
      </c>
      <c r="B14" s="5" t="s">
        <v>49</v>
      </c>
      <c r="C14" s="6">
        <v>0.3784</v>
      </c>
      <c r="D14" s="6">
        <v>0.0</v>
      </c>
      <c r="E14" s="6">
        <v>0.3451</v>
      </c>
      <c r="F14" s="7">
        <v>0.0338</v>
      </c>
      <c r="G14" s="7">
        <v>-0.096</v>
      </c>
      <c r="H14" s="7">
        <v>0.093</v>
      </c>
      <c r="I14" s="4">
        <v>337.0</v>
      </c>
      <c r="J14" s="4">
        <v>29.0</v>
      </c>
      <c r="K14" s="4">
        <v>3.0</v>
      </c>
      <c r="L14" s="4">
        <v>6.0</v>
      </c>
      <c r="M14" s="4">
        <v>3.0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ht="15.75" customHeight="1">
      <c r="A15" s="5" t="s">
        <v>50</v>
      </c>
      <c r="B15" s="5" t="s">
        <v>51</v>
      </c>
      <c r="C15" s="6">
        <v>0.2195</v>
      </c>
      <c r="D15" s="6">
        <v>0.0036</v>
      </c>
      <c r="E15" s="6">
        <v>0.47</v>
      </c>
      <c r="F15" s="7">
        <v>0.2195</v>
      </c>
      <c r="G15" s="7">
        <v>0.0525</v>
      </c>
      <c r="H15" s="7">
        <v>0.5062</v>
      </c>
      <c r="I15" s="4">
        <v>588.0</v>
      </c>
      <c r="J15" s="4">
        <v>27.0</v>
      </c>
      <c r="K15" s="4">
        <v>3.0</v>
      </c>
      <c r="L15" s="4">
        <v>4.0</v>
      </c>
      <c r="M15" s="4">
        <v>4.0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ht="15.75" customHeight="1">
      <c r="A16" s="5" t="s">
        <v>52</v>
      </c>
      <c r="B16" s="4" t="s">
        <v>53</v>
      </c>
      <c r="C16" s="6">
        <v>0.1667</v>
      </c>
      <c r="D16" s="6">
        <v>-0.0256</v>
      </c>
      <c r="E16" s="6">
        <v>0.4307</v>
      </c>
      <c r="F16" s="7">
        <v>0.25</v>
      </c>
      <c r="G16" s="7">
        <v>0.134</v>
      </c>
      <c r="H16" s="7">
        <v>0.6667</v>
      </c>
      <c r="I16" s="4">
        <v>277.0</v>
      </c>
      <c r="J16" s="4">
        <v>10.0</v>
      </c>
      <c r="K16" s="4">
        <v>3.0</v>
      </c>
      <c r="L16" s="4">
        <v>3.0</v>
      </c>
      <c r="M16" s="4">
        <v>3.0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ht="15.75" customHeight="1">
      <c r="A17" s="5" t="s">
        <v>54</v>
      </c>
      <c r="B17" s="4" t="s">
        <v>55</v>
      </c>
      <c r="C17" s="6">
        <v>0.0</v>
      </c>
      <c r="D17" s="6">
        <v>0.0</v>
      </c>
      <c r="E17" s="6">
        <v>0.25</v>
      </c>
      <c r="F17" s="7">
        <v>0.0</v>
      </c>
      <c r="G17" s="7">
        <v>0.0</v>
      </c>
      <c r="H17" s="7">
        <v>0.0</v>
      </c>
      <c r="I17" s="4">
        <v>232.0</v>
      </c>
      <c r="J17" s="4">
        <v>7.0</v>
      </c>
      <c r="K17" s="4">
        <v>1.0</v>
      </c>
      <c r="L17" s="4">
        <v>2.0</v>
      </c>
      <c r="M17" s="4">
        <v>3.0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ht="15.75" customHeight="1">
      <c r="A18" s="5" t="s">
        <v>56</v>
      </c>
      <c r="B18" s="4" t="s">
        <v>57</v>
      </c>
      <c r="C18" s="6">
        <v>0.0</v>
      </c>
      <c r="D18" s="6">
        <v>-0.0286</v>
      </c>
      <c r="E18" s="6">
        <v>0.0278</v>
      </c>
      <c r="F18" s="7">
        <v>0.0</v>
      </c>
      <c r="G18" s="7">
        <v>-0.0588</v>
      </c>
      <c r="H18" s="7">
        <v>0.0247</v>
      </c>
      <c r="I18" s="4">
        <v>203.0</v>
      </c>
      <c r="J18" s="4">
        <v>10.0</v>
      </c>
      <c r="K18" s="4">
        <v>1.0</v>
      </c>
      <c r="L18" s="4">
        <v>3.0</v>
      </c>
      <c r="M18" s="4">
        <v>2.0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ht="15.75" customHeight="1">
      <c r="A19" s="5" t="s">
        <v>58</v>
      </c>
      <c r="B19" s="4" t="s">
        <v>59</v>
      </c>
      <c r="C19" s="6">
        <v>0.3778</v>
      </c>
      <c r="D19" s="6">
        <v>0.1543</v>
      </c>
      <c r="E19" s="6">
        <v>0.4545</v>
      </c>
      <c r="F19" s="7">
        <v>0.0889</v>
      </c>
      <c r="G19" s="7">
        <v>-0.0873</v>
      </c>
      <c r="H19" s="7">
        <v>0.2414</v>
      </c>
      <c r="I19" s="4">
        <v>245.0</v>
      </c>
      <c r="J19" s="4">
        <v>11.0</v>
      </c>
      <c r="K19" s="4">
        <v>2.0</v>
      </c>
      <c r="L19" s="4">
        <v>4.0</v>
      </c>
      <c r="M19" s="4">
        <v>3.0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ht="15.75" customHeight="1">
      <c r="A20" s="5" t="s">
        <v>60</v>
      </c>
      <c r="B20" s="4" t="s">
        <v>61</v>
      </c>
      <c r="C20" s="6">
        <v>0.1481</v>
      </c>
      <c r="D20" s="6">
        <v>0.0694</v>
      </c>
      <c r="E20" s="6">
        <v>0.4167</v>
      </c>
      <c r="F20" s="7">
        <v>0.2</v>
      </c>
      <c r="G20" s="7">
        <v>0.0769</v>
      </c>
      <c r="H20" s="7">
        <v>0.3214</v>
      </c>
      <c r="I20" s="4">
        <v>254.0</v>
      </c>
      <c r="J20" s="4">
        <v>8.0</v>
      </c>
      <c r="K20" s="4">
        <v>1.0</v>
      </c>
      <c r="L20" s="4">
        <v>3.0</v>
      </c>
      <c r="M20" s="4">
        <v>2.0</v>
      </c>
      <c r="N20" s="4" t="s">
        <v>62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ht="15.75" customHeight="1">
      <c r="A21" s="5" t="s">
        <v>63</v>
      </c>
      <c r="B21" s="4" t="s">
        <v>64</v>
      </c>
      <c r="C21" s="6">
        <v>0.0833</v>
      </c>
      <c r="D21" s="6">
        <v>0.0678</v>
      </c>
      <c r="E21" s="6">
        <v>0.3333</v>
      </c>
      <c r="F21" s="7">
        <v>0.0667</v>
      </c>
      <c r="G21" s="7">
        <v>0.0555</v>
      </c>
      <c r="H21" s="7">
        <v>0.3</v>
      </c>
      <c r="I21" s="4">
        <v>183.0</v>
      </c>
      <c r="J21" s="4">
        <v>15.0</v>
      </c>
      <c r="K21" s="4">
        <v>1.0</v>
      </c>
      <c r="L21" s="4">
        <v>3.0</v>
      </c>
      <c r="M21" s="4">
        <v>4.0</v>
      </c>
      <c r="N21" s="19">
        <f t="shared" ref="N21:R21" si="15">sum(I2:I21)/20</f>
        <v>323.75</v>
      </c>
      <c r="O21" s="19">
        <f t="shared" si="15"/>
        <v>13.05</v>
      </c>
      <c r="P21" s="19">
        <f t="shared" si="15"/>
        <v>1.75</v>
      </c>
      <c r="Q21" s="19">
        <f t="shared" si="15"/>
        <v>3.25</v>
      </c>
      <c r="R21" s="19">
        <f t="shared" si="15"/>
        <v>3.15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ht="15.75" customHeight="1">
      <c r="A22" s="5" t="s">
        <v>65</v>
      </c>
      <c r="B22" s="5" t="s">
        <v>66</v>
      </c>
      <c r="C22" s="6">
        <v>0.0524</v>
      </c>
      <c r="D22" s="6">
        <v>0.0189</v>
      </c>
      <c r="E22" s="6">
        <v>0.326</v>
      </c>
      <c r="F22" s="7">
        <v>0.1144</v>
      </c>
      <c r="G22" s="7">
        <v>0.008</v>
      </c>
      <c r="H22" s="7">
        <v>0.4199</v>
      </c>
      <c r="I22" s="4">
        <v>355.0</v>
      </c>
      <c r="J22" s="4">
        <v>25.0</v>
      </c>
      <c r="K22" s="4">
        <v>7.0</v>
      </c>
      <c r="L22" s="4">
        <v>3.0</v>
      </c>
      <c r="M22" s="4">
        <v>4.0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ht="15.75" customHeight="1">
      <c r="A23" s="5" t="s">
        <v>67</v>
      </c>
      <c r="B23" s="5" t="s">
        <v>68</v>
      </c>
      <c r="C23" s="6">
        <v>0.2857</v>
      </c>
      <c r="D23" s="6">
        <v>0.186</v>
      </c>
      <c r="E23" s="6">
        <v>0.625</v>
      </c>
      <c r="F23" s="7">
        <v>0.4762</v>
      </c>
      <c r="G23" s="7">
        <v>0.3556</v>
      </c>
      <c r="H23" s="7">
        <v>0.7143</v>
      </c>
      <c r="I23" s="4">
        <v>329.0</v>
      </c>
      <c r="J23" s="4">
        <v>13.0</v>
      </c>
      <c r="K23" s="4">
        <v>1.0</v>
      </c>
      <c r="L23" s="4">
        <v>3.0</v>
      </c>
      <c r="M23" s="4">
        <v>2.0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ht="15.75" customHeight="1">
      <c r="A24" s="5" t="s">
        <v>69</v>
      </c>
      <c r="B24" s="4" t="s">
        <v>70</v>
      </c>
      <c r="C24" s="6">
        <v>0.0224</v>
      </c>
      <c r="D24" s="6">
        <v>0.0161</v>
      </c>
      <c r="E24" s="6">
        <v>0.1333</v>
      </c>
      <c r="F24" s="7">
        <v>0.0286</v>
      </c>
      <c r="G24" s="7">
        <v>0.0185</v>
      </c>
      <c r="H24" s="7">
        <v>0.1333</v>
      </c>
      <c r="I24" s="4">
        <v>730.0</v>
      </c>
      <c r="J24" s="4">
        <v>18.0</v>
      </c>
      <c r="K24" s="4">
        <v>1.0</v>
      </c>
      <c r="L24" s="4">
        <v>4.0</v>
      </c>
      <c r="M24" s="4">
        <v>3.0</v>
      </c>
      <c r="N24" s="4" t="s">
        <v>71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ht="15.75" customHeight="1">
      <c r="A25" s="5" t="s">
        <v>72</v>
      </c>
      <c r="B25" s="5" t="s">
        <v>73</v>
      </c>
      <c r="C25" s="6">
        <v>0.0278</v>
      </c>
      <c r="D25" s="6">
        <v>-0.0746</v>
      </c>
      <c r="E25" s="6">
        <v>0.0594</v>
      </c>
      <c r="F25" s="7">
        <v>0.0606</v>
      </c>
      <c r="G25" s="7">
        <v>0.0074</v>
      </c>
      <c r="H25" s="7">
        <v>0.16</v>
      </c>
      <c r="I25" s="4">
        <v>231.0</v>
      </c>
      <c r="J25" s="4">
        <v>20.0</v>
      </c>
      <c r="K25" s="4">
        <v>1.0</v>
      </c>
      <c r="L25" s="4">
        <v>3.0</v>
      </c>
      <c r="M25" s="4">
        <v>4.0</v>
      </c>
      <c r="N25" s="19">
        <f t="shared" ref="N25:R25" si="16">sum(I22:I25)/4</f>
        <v>411.25</v>
      </c>
      <c r="O25" s="19">
        <f t="shared" si="16"/>
        <v>19</v>
      </c>
      <c r="P25" s="19">
        <f t="shared" si="16"/>
        <v>2.5</v>
      </c>
      <c r="Q25" s="19">
        <f t="shared" si="16"/>
        <v>3.25</v>
      </c>
      <c r="R25" s="19">
        <f t="shared" si="16"/>
        <v>3.25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ht="15.75" customHeight="1">
      <c r="A26" s="5" t="s">
        <v>74</v>
      </c>
      <c r="B26" s="4" t="s">
        <v>75</v>
      </c>
      <c r="C26" s="6">
        <v>0.0185</v>
      </c>
      <c r="D26" s="6">
        <v>0.0149</v>
      </c>
      <c r="E26" s="6">
        <v>0.1412</v>
      </c>
      <c r="F26" s="7">
        <v>0.0182</v>
      </c>
      <c r="G26" s="7">
        <v>0.0133</v>
      </c>
      <c r="H26" s="7">
        <v>0.1212</v>
      </c>
      <c r="I26" s="4">
        <v>244.0</v>
      </c>
      <c r="J26" s="4">
        <v>18.0</v>
      </c>
      <c r="K26" s="4">
        <v>1.0</v>
      </c>
      <c r="L26" s="4">
        <v>4.0</v>
      </c>
      <c r="M26" s="4">
        <v>3.0</v>
      </c>
      <c r="N26" s="4" t="s">
        <v>76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ht="15.75" customHeight="1">
      <c r="A27" s="5" t="s">
        <v>77</v>
      </c>
      <c r="B27" s="5" t="s">
        <v>78</v>
      </c>
      <c r="C27" s="6">
        <v>0.5</v>
      </c>
      <c r="D27" s="6">
        <v>0.3333</v>
      </c>
      <c r="E27" s="6">
        <v>0.75</v>
      </c>
      <c r="F27" s="7">
        <v>0.5</v>
      </c>
      <c r="G27" s="7">
        <v>0.3333</v>
      </c>
      <c r="H27" s="7">
        <v>0.75</v>
      </c>
      <c r="I27" s="4">
        <v>72.0</v>
      </c>
      <c r="J27" s="4">
        <v>4.0</v>
      </c>
      <c r="K27" s="4">
        <v>1.0</v>
      </c>
      <c r="L27" s="4">
        <v>2.0</v>
      </c>
      <c r="M27" s="4">
        <v>2.0</v>
      </c>
      <c r="N27" s="19">
        <f t="shared" ref="N27:R27" si="17">sum(I26:I27)/2</f>
        <v>158</v>
      </c>
      <c r="O27" s="19">
        <f t="shared" si="17"/>
        <v>11</v>
      </c>
      <c r="P27" s="19">
        <f t="shared" si="17"/>
        <v>1</v>
      </c>
      <c r="Q27" s="19">
        <f t="shared" si="17"/>
        <v>3</v>
      </c>
      <c r="R27" s="19">
        <f t="shared" si="17"/>
        <v>2.5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ht="15.75" customHeight="1">
      <c r="A28" s="5" t="s">
        <v>79</v>
      </c>
      <c r="B28" s="4" t="s">
        <v>80</v>
      </c>
      <c r="C28" s="6">
        <v>0.1667</v>
      </c>
      <c r="D28" s="6">
        <v>0.0275</v>
      </c>
      <c r="E28" s="6">
        <v>0.5742</v>
      </c>
      <c r="F28" s="7">
        <v>0.1458</v>
      </c>
      <c r="G28" s="7">
        <v>0.0213</v>
      </c>
      <c r="H28" s="7">
        <v>0.507</v>
      </c>
      <c r="I28" s="4">
        <v>607.0</v>
      </c>
      <c r="J28" s="4">
        <v>21.0</v>
      </c>
      <c r="K28" s="4">
        <v>7.0</v>
      </c>
      <c r="L28" s="4">
        <v>5.0</v>
      </c>
      <c r="M28" s="4">
        <v>5.0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ht="15.75" customHeight="1">
      <c r="A29" s="5" t="s">
        <v>81</v>
      </c>
      <c r="B29" s="4" t="s">
        <v>82</v>
      </c>
      <c r="C29" s="6">
        <v>0.7778</v>
      </c>
      <c r="D29" s="6">
        <v>0.6317</v>
      </c>
      <c r="E29" s="6">
        <v>0.8889</v>
      </c>
      <c r="F29" s="7">
        <v>0.7222</v>
      </c>
      <c r="G29" s="7">
        <v>0.5431</v>
      </c>
      <c r="H29" s="7">
        <v>0.7675</v>
      </c>
      <c r="I29" s="4">
        <v>441.0</v>
      </c>
      <c r="J29" s="4">
        <v>14.0</v>
      </c>
      <c r="K29" s="4">
        <v>2.0</v>
      </c>
      <c r="L29" s="4">
        <v>3.0</v>
      </c>
      <c r="M29" s="4">
        <v>3.0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ht="15.75" customHeight="1">
      <c r="A30" s="5" t="s">
        <v>83</v>
      </c>
      <c r="B30" s="4" t="s">
        <v>84</v>
      </c>
      <c r="C30" s="6">
        <v>0.2222</v>
      </c>
      <c r="D30" s="6">
        <v>0.125</v>
      </c>
      <c r="E30" s="6">
        <v>0.6</v>
      </c>
      <c r="F30" s="7">
        <v>0.2222</v>
      </c>
      <c r="G30" s="7">
        <v>0.125</v>
      </c>
      <c r="H30" s="7">
        <v>0.6</v>
      </c>
      <c r="I30" s="4">
        <v>83.0</v>
      </c>
      <c r="J30" s="4">
        <v>4.0</v>
      </c>
      <c r="K30" s="4">
        <v>1.0</v>
      </c>
      <c r="L30" s="4">
        <v>3.0</v>
      </c>
      <c r="M30" s="4">
        <v>3.0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ht="15.75" customHeight="1">
      <c r="A31" s="5" t="s">
        <v>85</v>
      </c>
      <c r="B31" s="4" t="s">
        <v>86</v>
      </c>
      <c r="C31" s="6">
        <v>0.4545</v>
      </c>
      <c r="D31" s="6">
        <v>0.1429</v>
      </c>
      <c r="E31" s="6">
        <v>0.7559</v>
      </c>
      <c r="F31" s="7">
        <v>0.3939</v>
      </c>
      <c r="G31" s="7">
        <v>0.0929</v>
      </c>
      <c r="H31" s="7">
        <v>0.7143</v>
      </c>
      <c r="I31" s="4">
        <v>313.0</v>
      </c>
      <c r="J31" s="4">
        <v>13.0</v>
      </c>
      <c r="K31" s="4">
        <v>3.0</v>
      </c>
      <c r="L31" s="4">
        <v>3.0</v>
      </c>
      <c r="M31" s="4">
        <v>3.0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ht="15.75" customHeight="1">
      <c r="A32" s="5" t="s">
        <v>87</v>
      </c>
      <c r="B32" s="4" t="s">
        <v>88</v>
      </c>
      <c r="C32" s="6">
        <v>0.4032</v>
      </c>
      <c r="D32" s="6">
        <v>0.131</v>
      </c>
      <c r="E32" s="6">
        <v>0.4642</v>
      </c>
      <c r="F32" s="7">
        <v>0.2419</v>
      </c>
      <c r="G32" s="7">
        <v>-0.034</v>
      </c>
      <c r="H32" s="7">
        <v>0.4286</v>
      </c>
      <c r="I32" s="4">
        <v>285.0</v>
      </c>
      <c r="J32" s="4">
        <v>22.0</v>
      </c>
      <c r="K32" s="4">
        <v>2.0</v>
      </c>
      <c r="L32" s="4">
        <v>5.0</v>
      </c>
      <c r="M32" s="4">
        <v>3.0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ht="15.75" customHeight="1">
      <c r="A33" s="5" t="s">
        <v>89</v>
      </c>
      <c r="B33" s="4" t="s">
        <v>90</v>
      </c>
      <c r="C33" s="6">
        <v>0.0833</v>
      </c>
      <c r="D33" s="6">
        <v>-0.0428</v>
      </c>
      <c r="E33" s="6">
        <v>0.1224</v>
      </c>
      <c r="F33" s="7">
        <v>0.1429</v>
      </c>
      <c r="G33" s="7">
        <v>0.0276</v>
      </c>
      <c r="H33" s="7">
        <v>0.1923</v>
      </c>
      <c r="I33" s="4">
        <v>299.0</v>
      </c>
      <c r="J33" s="4">
        <v>12.0</v>
      </c>
      <c r="K33" s="4">
        <v>2.0</v>
      </c>
      <c r="L33" s="4">
        <v>2.0</v>
      </c>
      <c r="M33" s="4">
        <v>3.0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ht="15.75" customHeight="1">
      <c r="A34" s="5" t="s">
        <v>91</v>
      </c>
      <c r="B34" s="4" t="s">
        <v>92</v>
      </c>
      <c r="C34" s="6">
        <v>0.011</v>
      </c>
      <c r="D34" s="6">
        <v>-0.0258</v>
      </c>
      <c r="E34" s="6">
        <v>0.0806</v>
      </c>
      <c r="F34" s="7">
        <v>0.0222</v>
      </c>
      <c r="G34" s="7">
        <v>-0.0162</v>
      </c>
      <c r="H34" s="7">
        <v>0.0879</v>
      </c>
      <c r="I34" s="4">
        <v>544.0</v>
      </c>
      <c r="J34" s="4">
        <v>27.0</v>
      </c>
      <c r="K34" s="4">
        <v>2.0</v>
      </c>
      <c r="L34" s="4">
        <v>5.0</v>
      </c>
      <c r="M34" s="4">
        <v>3.0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ht="15.75" customHeight="1">
      <c r="A35" s="5" t="s">
        <v>93</v>
      </c>
      <c r="B35" s="4" t="s">
        <v>94</v>
      </c>
      <c r="C35" s="6">
        <v>0.0</v>
      </c>
      <c r="D35" s="6">
        <v>-0.0026</v>
      </c>
      <c r="E35" s="6">
        <v>0.022</v>
      </c>
      <c r="F35" s="7">
        <v>0.0</v>
      </c>
      <c r="G35" s="7">
        <v>-0.0017</v>
      </c>
      <c r="H35" s="7">
        <v>0.0364</v>
      </c>
      <c r="I35" s="4">
        <v>594.0</v>
      </c>
      <c r="J35" s="4">
        <v>29.0</v>
      </c>
      <c r="K35" s="4">
        <v>1.0</v>
      </c>
      <c r="L35" s="4">
        <v>4.0</v>
      </c>
      <c r="M35" s="4">
        <v>5.0</v>
      </c>
      <c r="N35" s="4" t="s">
        <v>95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ht="15.75" customHeight="1">
      <c r="A36" s="5" t="s">
        <v>96</v>
      </c>
      <c r="B36" s="4" t="s">
        <v>97</v>
      </c>
      <c r="C36" s="6">
        <v>0.1111</v>
      </c>
      <c r="D36" s="6">
        <v>0.0448</v>
      </c>
      <c r="E36" s="6">
        <v>0.3611</v>
      </c>
      <c r="F36" s="7">
        <v>0.1429</v>
      </c>
      <c r="G36" s="7">
        <v>0.0756</v>
      </c>
      <c r="H36" s="7">
        <v>0.4665</v>
      </c>
      <c r="I36" s="4">
        <v>593.0</v>
      </c>
      <c r="J36" s="4">
        <v>25.0</v>
      </c>
      <c r="K36" s="4">
        <v>1.0</v>
      </c>
      <c r="L36" s="4">
        <v>3.0</v>
      </c>
      <c r="M36" s="4">
        <v>3.0</v>
      </c>
      <c r="N36" s="19">
        <f t="shared" ref="N36:R36" si="18">sum(I28:I36)/9</f>
        <v>417.6666667</v>
      </c>
      <c r="O36" s="19">
        <f t="shared" si="18"/>
        <v>18.55555556</v>
      </c>
      <c r="P36" s="19">
        <f t="shared" si="18"/>
        <v>2.333333333</v>
      </c>
      <c r="Q36" s="19">
        <f t="shared" si="18"/>
        <v>3.666666667</v>
      </c>
      <c r="R36" s="19">
        <f t="shared" si="18"/>
        <v>3.444444444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ht="15.75" customHeight="1">
      <c r="A37" s="5" t="s">
        <v>98</v>
      </c>
      <c r="B37" s="4" t="s">
        <v>99</v>
      </c>
      <c r="C37" s="6">
        <v>1.0</v>
      </c>
      <c r="D37" s="6">
        <v>1.0</v>
      </c>
      <c r="E37" s="6">
        <v>1.0</v>
      </c>
      <c r="F37" s="7">
        <v>0.6667</v>
      </c>
      <c r="G37" s="7">
        <v>0.4898</v>
      </c>
      <c r="H37" s="7">
        <v>0.7738</v>
      </c>
      <c r="I37" s="4">
        <v>152.0</v>
      </c>
      <c r="J37" s="4">
        <v>9.0</v>
      </c>
      <c r="K37" s="4">
        <v>2.0</v>
      </c>
      <c r="L37" s="4">
        <v>2.0</v>
      </c>
      <c r="M37" s="4">
        <v>2.0</v>
      </c>
      <c r="N37" s="4" t="s">
        <v>100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ht="15.75" customHeight="1">
      <c r="A38" s="5" t="s">
        <v>101</v>
      </c>
      <c r="B38" s="4" t="s">
        <v>102</v>
      </c>
      <c r="C38" s="6">
        <v>0.0408</v>
      </c>
      <c r="D38" s="6">
        <v>0.0262</v>
      </c>
      <c r="E38" s="6">
        <v>0.2812</v>
      </c>
      <c r="F38" s="7">
        <v>0.0</v>
      </c>
      <c r="G38" s="7">
        <v>-0.0153</v>
      </c>
      <c r="H38" s="7">
        <v>0.0</v>
      </c>
      <c r="I38" s="4">
        <v>340.0</v>
      </c>
      <c r="J38" s="4">
        <v>8.0</v>
      </c>
      <c r="K38" s="4">
        <v>1.0</v>
      </c>
      <c r="L38" s="4">
        <v>4.0</v>
      </c>
      <c r="M38" s="4">
        <v>4.0</v>
      </c>
      <c r="N38" s="20">
        <f t="shared" ref="N38:R38" si="19">sum(I37:I38)/2</f>
        <v>246</v>
      </c>
      <c r="O38" s="20">
        <f t="shared" si="19"/>
        <v>8.5</v>
      </c>
      <c r="P38" s="20">
        <f t="shared" si="19"/>
        <v>1.5</v>
      </c>
      <c r="Q38" s="20">
        <f t="shared" si="19"/>
        <v>3</v>
      </c>
      <c r="R38" s="20">
        <f t="shared" si="19"/>
        <v>3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ht="15.75" customHeight="1">
      <c r="A39" s="5" t="s">
        <v>103</v>
      </c>
      <c r="B39" s="4" t="s">
        <v>104</v>
      </c>
      <c r="C39" s="6">
        <v>0.0718</v>
      </c>
      <c r="D39" s="6">
        <v>-0.0078</v>
      </c>
      <c r="E39" s="6">
        <v>0.18</v>
      </c>
      <c r="F39" s="7">
        <v>0.1648</v>
      </c>
      <c r="G39" s="7">
        <v>0.0932</v>
      </c>
      <c r="H39" s="7">
        <v>0.2571</v>
      </c>
      <c r="I39" s="4">
        <v>344.0</v>
      </c>
      <c r="J39" s="4">
        <v>23.0</v>
      </c>
      <c r="K39" s="4">
        <v>3.0</v>
      </c>
      <c r="L39" s="4">
        <v>5.0</v>
      </c>
      <c r="M39" s="4">
        <v>3.0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ht="15.75" customHeight="1">
      <c r="A40" s="5" t="s">
        <v>105</v>
      </c>
      <c r="B40" s="4" t="s">
        <v>106</v>
      </c>
      <c r="C40" s="6">
        <v>0.7333</v>
      </c>
      <c r="D40" s="6">
        <v>0.4444</v>
      </c>
      <c r="E40" s="6">
        <v>0.8</v>
      </c>
      <c r="F40" s="7">
        <v>0.7333</v>
      </c>
      <c r="G40" s="7">
        <v>0.4444</v>
      </c>
      <c r="H40" s="7">
        <v>0.8</v>
      </c>
      <c r="I40" s="4">
        <v>144.0</v>
      </c>
      <c r="J40" s="4">
        <v>7.0</v>
      </c>
      <c r="K40" s="4">
        <v>2.0</v>
      </c>
      <c r="L40" s="4">
        <v>3.0</v>
      </c>
      <c r="M40" s="4">
        <v>3.0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ht="15.75" customHeight="1">
      <c r="A41" s="5" t="s">
        <v>107</v>
      </c>
      <c r="B41" s="4" t="s">
        <v>104</v>
      </c>
      <c r="C41" s="6">
        <v>0.1429</v>
      </c>
      <c r="D41" s="6">
        <v>0.0</v>
      </c>
      <c r="E41" s="6">
        <v>0.24</v>
      </c>
      <c r="F41" s="7">
        <v>0.1429</v>
      </c>
      <c r="G41" s="7">
        <v>0.0</v>
      </c>
      <c r="H41" s="7">
        <v>0.24</v>
      </c>
      <c r="I41" s="4">
        <v>344.0</v>
      </c>
      <c r="J41" s="4">
        <v>23.0</v>
      </c>
      <c r="K41" s="4">
        <v>3.0</v>
      </c>
      <c r="L41" s="4">
        <v>4.0</v>
      </c>
      <c r="M41" s="4">
        <v>4.0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ht="15.75" customHeight="1">
      <c r="A42" s="5" t="s">
        <v>108</v>
      </c>
      <c r="B42" s="5" t="s">
        <v>109</v>
      </c>
      <c r="C42" s="6">
        <v>0.0</v>
      </c>
      <c r="D42" s="6">
        <v>-0.0135</v>
      </c>
      <c r="E42" s="6">
        <v>0.1667</v>
      </c>
      <c r="F42" s="7">
        <v>0.0</v>
      </c>
      <c r="G42" s="7">
        <v>-0.0135</v>
      </c>
      <c r="H42" s="7">
        <v>0.1667</v>
      </c>
      <c r="I42" s="4">
        <v>33.0</v>
      </c>
      <c r="J42" s="4">
        <v>6.0</v>
      </c>
      <c r="K42" s="4">
        <v>1.0</v>
      </c>
      <c r="L42" s="4">
        <v>3.0</v>
      </c>
      <c r="M42" s="4">
        <v>3.0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ht="15.75" customHeight="1">
      <c r="A43" s="5" t="s">
        <v>110</v>
      </c>
      <c r="B43" s="4" t="s">
        <v>111</v>
      </c>
      <c r="C43" s="6">
        <v>0.0</v>
      </c>
      <c r="D43" s="6">
        <v>-0.0107</v>
      </c>
      <c r="E43" s="6">
        <v>0.0093</v>
      </c>
      <c r="F43" s="7">
        <v>0.0</v>
      </c>
      <c r="G43" s="7">
        <v>-0.0099</v>
      </c>
      <c r="H43" s="7">
        <v>0.0</v>
      </c>
      <c r="I43" s="4">
        <v>165.0</v>
      </c>
      <c r="J43" s="4">
        <v>25.0</v>
      </c>
      <c r="K43" s="4">
        <v>2.0</v>
      </c>
      <c r="L43" s="4">
        <v>6.0</v>
      </c>
      <c r="M43" s="4">
        <v>3.0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ht="15.75" customHeight="1">
      <c r="A44" s="5" t="s">
        <v>112</v>
      </c>
      <c r="B44" s="4" t="s">
        <v>113</v>
      </c>
      <c r="C44" s="6">
        <v>0.0</v>
      </c>
      <c r="D44" s="6">
        <v>-0.0013</v>
      </c>
      <c r="E44" s="6">
        <v>0.0</v>
      </c>
      <c r="F44" s="7">
        <v>0.0</v>
      </c>
      <c r="G44" s="7">
        <v>-0.0018</v>
      </c>
      <c r="H44" s="7">
        <v>0.0</v>
      </c>
      <c r="I44" s="4">
        <v>175.0</v>
      </c>
      <c r="J44" s="4">
        <v>23.0</v>
      </c>
      <c r="K44" s="4">
        <v>1.0</v>
      </c>
      <c r="L44" s="4">
        <v>4.0</v>
      </c>
      <c r="M44" s="4">
        <v>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ht="15.75" customHeight="1">
      <c r="A45" s="5" t="s">
        <v>114</v>
      </c>
      <c r="B45" s="4" t="s">
        <v>115</v>
      </c>
      <c r="C45" s="6">
        <v>0.0222</v>
      </c>
      <c r="D45" s="6">
        <v>0.012</v>
      </c>
      <c r="E45" s="6">
        <v>0.1</v>
      </c>
      <c r="F45" s="7">
        <v>0.0222</v>
      </c>
      <c r="G45" s="7">
        <v>0.012</v>
      </c>
      <c r="H45" s="7">
        <v>0.1</v>
      </c>
      <c r="I45" s="4">
        <v>105.0</v>
      </c>
      <c r="J45" s="4">
        <v>20.0</v>
      </c>
      <c r="K45" s="4">
        <v>1.0</v>
      </c>
      <c r="L45" s="4">
        <v>2.0</v>
      </c>
      <c r="M45" s="4">
        <v>2.0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ht="15.75" customHeight="1">
      <c r="A46" s="5" t="s">
        <v>116</v>
      </c>
      <c r="B46" s="4" t="s">
        <v>117</v>
      </c>
      <c r="C46" s="6">
        <v>0.0</v>
      </c>
      <c r="D46" s="6">
        <v>-0.0193</v>
      </c>
      <c r="E46" s="6">
        <v>0.0</v>
      </c>
      <c r="F46" s="7">
        <v>0.0</v>
      </c>
      <c r="G46" s="7">
        <v>-0.0185</v>
      </c>
      <c r="H46" s="7">
        <v>0.0</v>
      </c>
      <c r="I46" s="4">
        <v>175.0</v>
      </c>
      <c r="J46" s="4">
        <v>18.0</v>
      </c>
      <c r="K46" s="4">
        <v>2.0</v>
      </c>
      <c r="L46" s="4">
        <v>4.0</v>
      </c>
      <c r="M46" s="4">
        <v>3.0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ht="15.75" customHeight="1">
      <c r="A47" s="5" t="s">
        <v>118</v>
      </c>
      <c r="B47" s="4" t="s">
        <v>119</v>
      </c>
      <c r="C47" s="6">
        <v>0.0</v>
      </c>
      <c r="D47" s="6">
        <v>-0.0051</v>
      </c>
      <c r="E47" s="6">
        <v>0.125</v>
      </c>
      <c r="F47" s="7">
        <v>0.0161</v>
      </c>
      <c r="G47" s="7">
        <v>0.007</v>
      </c>
      <c r="H47" s="7">
        <v>0.1667</v>
      </c>
      <c r="I47" s="4">
        <v>43.0</v>
      </c>
      <c r="J47" s="4">
        <v>8.0</v>
      </c>
      <c r="K47" s="4">
        <v>1.0</v>
      </c>
      <c r="L47" s="4">
        <v>4.0</v>
      </c>
      <c r="M47" s="4">
        <v>3.0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ht="15.75" customHeight="1">
      <c r="A48" s="5" t="s">
        <v>120</v>
      </c>
      <c r="B48" s="4" t="s">
        <v>121</v>
      </c>
      <c r="C48" s="6">
        <v>0.3125</v>
      </c>
      <c r="D48" s="6">
        <v>0.00415</v>
      </c>
      <c r="E48" s="6">
        <v>0.5943</v>
      </c>
      <c r="F48" s="7">
        <v>0.1875</v>
      </c>
      <c r="G48" s="7">
        <v>-0.0149</v>
      </c>
      <c r="H48" s="7">
        <v>0.4082</v>
      </c>
      <c r="I48" s="4">
        <v>141.0</v>
      </c>
      <c r="J48" s="4">
        <v>8.0</v>
      </c>
      <c r="K48" s="4">
        <v>4.0</v>
      </c>
      <c r="L48" s="4">
        <v>3.0</v>
      </c>
      <c r="M48" s="4">
        <v>3.0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ht="15.75" customHeight="1">
      <c r="A49" s="5" t="s">
        <v>122</v>
      </c>
      <c r="B49" s="4" t="s">
        <v>123</v>
      </c>
      <c r="C49" s="6">
        <v>0.4444</v>
      </c>
      <c r="D49" s="6">
        <v>0.2424</v>
      </c>
      <c r="E49" s="6">
        <v>0.7692</v>
      </c>
      <c r="F49" s="7">
        <v>0.6</v>
      </c>
      <c r="G49" s="7">
        <v>0.375</v>
      </c>
      <c r="H49" s="7">
        <v>0.8</v>
      </c>
      <c r="I49" s="4">
        <v>201.0</v>
      </c>
      <c r="J49" s="4">
        <v>8.0</v>
      </c>
      <c r="K49" s="4">
        <v>1.0</v>
      </c>
      <c r="L49" s="4">
        <v>2.0</v>
      </c>
      <c r="M49" s="4">
        <v>2.0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ht="15.75" customHeight="1">
      <c r="A50" s="5" t="s">
        <v>124</v>
      </c>
      <c r="B50" s="4" t="s">
        <v>125</v>
      </c>
      <c r="C50" s="6">
        <v>1.0</v>
      </c>
      <c r="D50" s="6">
        <v>1.0</v>
      </c>
      <c r="E50" s="6">
        <v>1.0</v>
      </c>
      <c r="F50" s="7">
        <v>1.0</v>
      </c>
      <c r="G50" s="7">
        <v>1.0</v>
      </c>
      <c r="H50" s="7">
        <v>1.0</v>
      </c>
      <c r="I50" s="4">
        <v>77.0</v>
      </c>
      <c r="J50" s="4">
        <v>4.0</v>
      </c>
      <c r="K50" s="4">
        <v>1.0</v>
      </c>
      <c r="L50" s="4">
        <v>1.0</v>
      </c>
      <c r="M50" s="4">
        <v>1.0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ht="15.75" customHeight="1">
      <c r="A51" s="5" t="s">
        <v>126</v>
      </c>
      <c r="B51" s="4" t="s">
        <v>127</v>
      </c>
      <c r="C51" s="6">
        <v>0.0462</v>
      </c>
      <c r="D51" s="6">
        <v>0.0222</v>
      </c>
      <c r="E51" s="6">
        <v>0.1884</v>
      </c>
      <c r="F51" s="7">
        <v>0.0545</v>
      </c>
      <c r="G51" s="7">
        <v>0.0289</v>
      </c>
      <c r="H51" s="7">
        <v>0.1845</v>
      </c>
      <c r="I51" s="4">
        <v>577.0</v>
      </c>
      <c r="J51" s="4">
        <v>16.0</v>
      </c>
      <c r="K51" s="4">
        <v>2.0</v>
      </c>
      <c r="L51" s="4">
        <v>4.0</v>
      </c>
      <c r="M51" s="4">
        <v>4.0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ht="15.75" customHeight="1">
      <c r="A52" s="5" t="s">
        <v>128</v>
      </c>
      <c r="B52" s="4" t="s">
        <v>129</v>
      </c>
      <c r="C52" s="6">
        <v>0.0357</v>
      </c>
      <c r="D52" s="6">
        <v>0.0308</v>
      </c>
      <c r="E52" s="6">
        <v>0.25</v>
      </c>
      <c r="F52" s="7">
        <v>0.1</v>
      </c>
      <c r="G52" s="7">
        <v>0.0935</v>
      </c>
      <c r="H52" s="7">
        <v>0.4</v>
      </c>
      <c r="I52" s="4">
        <v>373.0</v>
      </c>
      <c r="J52" s="4">
        <v>11.0</v>
      </c>
      <c r="K52" s="4">
        <v>1.0</v>
      </c>
      <c r="L52" s="4">
        <v>4.0</v>
      </c>
      <c r="M52" s="4">
        <v>3.0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ht="15.75" customHeight="1">
      <c r="A53" s="5" t="s">
        <v>130</v>
      </c>
      <c r="B53" s="4" t="s">
        <v>131</v>
      </c>
      <c r="C53" s="6">
        <v>0.0</v>
      </c>
      <c r="D53" s="6">
        <v>0.0</v>
      </c>
      <c r="E53" s="6">
        <v>0.1111</v>
      </c>
      <c r="F53" s="7">
        <v>0.0</v>
      </c>
      <c r="G53" s="7">
        <v>0.0</v>
      </c>
      <c r="H53" s="7">
        <v>0.0741</v>
      </c>
      <c r="I53" s="4">
        <v>136.0</v>
      </c>
      <c r="J53" s="4">
        <v>9.0</v>
      </c>
      <c r="K53" s="4">
        <v>1.0</v>
      </c>
      <c r="L53" s="4">
        <v>4.0</v>
      </c>
      <c r="M53" s="4">
        <v>3.0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ht="15.75" customHeight="1">
      <c r="A54" s="5" t="s">
        <v>132</v>
      </c>
      <c r="B54" s="4" t="s">
        <v>133</v>
      </c>
      <c r="C54" s="6">
        <v>0.0</v>
      </c>
      <c r="D54" s="6">
        <v>0.0</v>
      </c>
      <c r="E54" s="6">
        <v>0.033</v>
      </c>
      <c r="F54" s="7">
        <v>0.0</v>
      </c>
      <c r="G54" s="7">
        <v>0.0</v>
      </c>
      <c r="H54" s="7">
        <v>0.0571</v>
      </c>
      <c r="I54" s="4">
        <v>67.0</v>
      </c>
      <c r="J54" s="4">
        <v>3.0</v>
      </c>
      <c r="K54" s="4">
        <v>1.0</v>
      </c>
      <c r="L54" s="4">
        <v>2.0</v>
      </c>
      <c r="M54" s="4">
        <v>2.0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ht="15.75" customHeight="1">
      <c r="A55" s="5" t="s">
        <v>134</v>
      </c>
      <c r="B55" s="4" t="s">
        <v>135</v>
      </c>
      <c r="C55" s="6">
        <v>0.0</v>
      </c>
      <c r="D55" s="6">
        <v>0.0</v>
      </c>
      <c r="E55" s="6">
        <v>0.0227</v>
      </c>
      <c r="F55" s="7">
        <v>0.0</v>
      </c>
      <c r="G55" s="7">
        <v>0.0</v>
      </c>
      <c r="H55" s="7">
        <v>0.0476</v>
      </c>
      <c r="I55" s="4">
        <v>50.0</v>
      </c>
      <c r="J55" s="4">
        <v>3.0</v>
      </c>
      <c r="K55" s="4">
        <v>1.0</v>
      </c>
      <c r="L55" s="4">
        <v>2.0</v>
      </c>
      <c r="M55" s="4">
        <v>2.0</v>
      </c>
      <c r="N55" s="4" t="s">
        <v>136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ht="15.75" customHeight="1">
      <c r="A56" s="5" t="s">
        <v>137</v>
      </c>
      <c r="B56" s="4" t="s">
        <v>138</v>
      </c>
      <c r="C56" s="6">
        <v>0.0182</v>
      </c>
      <c r="D56" s="6">
        <v>0.0093</v>
      </c>
      <c r="E56" s="6">
        <v>0.1212</v>
      </c>
      <c r="F56" s="7">
        <v>0.0357</v>
      </c>
      <c r="G56" s="7">
        <v>0.0256</v>
      </c>
      <c r="H56" s="7">
        <v>0.25</v>
      </c>
      <c r="I56" s="4">
        <v>130.0</v>
      </c>
      <c r="J56" s="4">
        <v>16.0</v>
      </c>
      <c r="K56" s="4">
        <v>1.0</v>
      </c>
      <c r="L56" s="4">
        <v>2.0</v>
      </c>
      <c r="M56" s="4">
        <v>2.0</v>
      </c>
      <c r="N56" s="19">
        <f t="shared" ref="N56:R56" si="20">sum(I39:I56)/18</f>
        <v>182.2222222</v>
      </c>
      <c r="O56" s="19">
        <f t="shared" si="20"/>
        <v>12.83333333</v>
      </c>
      <c r="P56" s="19">
        <f t="shared" si="20"/>
        <v>1.611111111</v>
      </c>
      <c r="Q56" s="19">
        <f t="shared" si="20"/>
        <v>3.277777778</v>
      </c>
      <c r="R56" s="19">
        <f t="shared" si="20"/>
        <v>2.722222222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19">
        <f t="shared" ref="I59:M59" si="21">SUM(I3:I56)/55</f>
        <v>287.2363636</v>
      </c>
      <c r="J59" s="19">
        <f t="shared" si="21"/>
        <v>13.98181818</v>
      </c>
      <c r="K59" s="19">
        <f t="shared" si="21"/>
        <v>1.8</v>
      </c>
      <c r="L59" s="19">
        <f t="shared" si="21"/>
        <v>3.290909091</v>
      </c>
      <c r="M59" s="19">
        <f t="shared" si="21"/>
        <v>2.981818182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ht="15.75" customHeight="1">
      <c r="A61" s="5"/>
      <c r="B61" s="5"/>
      <c r="C61" s="4" t="s">
        <v>139</v>
      </c>
      <c r="F61" s="4" t="s">
        <v>140</v>
      </c>
      <c r="I61" s="4" t="s">
        <v>141</v>
      </c>
      <c r="L61" s="4" t="s">
        <v>142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ht="15.75" customHeight="1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2</v>
      </c>
      <c r="G62" s="1" t="s">
        <v>3</v>
      </c>
      <c r="H62" s="1" t="s">
        <v>4</v>
      </c>
      <c r="I62" s="1" t="s">
        <v>2</v>
      </c>
      <c r="J62" s="1" t="s">
        <v>3</v>
      </c>
      <c r="K62" s="1" t="s">
        <v>4</v>
      </c>
      <c r="L62" s="1" t="s">
        <v>2</v>
      </c>
      <c r="M62" s="1" t="s">
        <v>3</v>
      </c>
      <c r="N62" s="1" t="s">
        <v>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ht="15.75" customHeight="1">
      <c r="A63" s="5" t="s">
        <v>13</v>
      </c>
      <c r="B63" s="5" t="s">
        <v>14</v>
      </c>
      <c r="C63" s="6">
        <v>1.0</v>
      </c>
      <c r="D63" s="6">
        <v>1.0</v>
      </c>
      <c r="E63" s="6">
        <v>1.0</v>
      </c>
      <c r="F63" s="4">
        <v>0.7216</v>
      </c>
      <c r="G63" s="4">
        <v>0.5513</v>
      </c>
      <c r="H63" s="4">
        <v>0.8132</v>
      </c>
      <c r="I63" s="4">
        <v>0.6523</v>
      </c>
      <c r="J63" s="4">
        <v>0.4898</v>
      </c>
      <c r="K63" s="4">
        <v>0.7612</v>
      </c>
      <c r="L63" s="4">
        <v>0.8812</v>
      </c>
      <c r="M63" s="4">
        <v>0.8212</v>
      </c>
      <c r="N63" s="4">
        <v>0.9417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ht="15.75" customHeight="1">
      <c r="A64" s="5" t="s">
        <v>19</v>
      </c>
      <c r="B64" s="5" t="s">
        <v>20</v>
      </c>
      <c r="C64" s="6">
        <v>0.25</v>
      </c>
      <c r="D64" s="6">
        <v>-0.09</v>
      </c>
      <c r="E64" s="6">
        <v>0.3281</v>
      </c>
      <c r="F64" s="4">
        <v>0.1233</v>
      </c>
      <c r="G64" s="4">
        <v>-0.1554</v>
      </c>
      <c r="H64" s="4">
        <v>0.2234</v>
      </c>
      <c r="I64" s="4">
        <v>0.2878</v>
      </c>
      <c r="J64" s="4">
        <v>-0.022</v>
      </c>
      <c r="K64" s="4">
        <v>0.3567</v>
      </c>
      <c r="L64" s="4">
        <v>0.1919</v>
      </c>
      <c r="M64" s="4">
        <v>-0.1145</v>
      </c>
      <c r="N64" s="4">
        <v>0.2876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ht="15.75" customHeight="1">
      <c r="A65" s="5" t="s">
        <v>31</v>
      </c>
      <c r="B65" s="5" t="s">
        <v>32</v>
      </c>
      <c r="C65" s="6">
        <v>0.3737</v>
      </c>
      <c r="D65" s="6">
        <v>0.02</v>
      </c>
      <c r="E65" s="6">
        <v>0.4102</v>
      </c>
      <c r="F65" s="4">
        <v>0.2578</v>
      </c>
      <c r="G65" s="4">
        <v>0.056</v>
      </c>
      <c r="H65" s="4">
        <v>0.3591</v>
      </c>
      <c r="I65" s="4">
        <v>0.2217</v>
      </c>
      <c r="J65" s="4">
        <v>-0.025</v>
      </c>
      <c r="K65" s="4">
        <v>0.3178</v>
      </c>
      <c r="L65" s="4">
        <v>0.3578</v>
      </c>
      <c r="M65" s="4">
        <v>0.081</v>
      </c>
      <c r="N65" s="4">
        <v>0.4289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ht="15.75" customHeight="1">
      <c r="A66" s="5" t="s">
        <v>34</v>
      </c>
      <c r="B66" s="4" t="s">
        <v>35</v>
      </c>
      <c r="C66" s="6">
        <v>0.4531</v>
      </c>
      <c r="D66" s="6">
        <v>0.125</v>
      </c>
      <c r="E66" s="6">
        <v>0.7037</v>
      </c>
      <c r="F66" s="4">
        <v>0.3899</v>
      </c>
      <c r="G66" s="4">
        <v>0.0853</v>
      </c>
      <c r="H66" s="4">
        <v>0.5599</v>
      </c>
      <c r="I66" s="4">
        <v>0.3215</v>
      </c>
      <c r="J66" s="4">
        <v>0.053</v>
      </c>
      <c r="K66" s="4">
        <v>0.4877</v>
      </c>
      <c r="L66" s="4">
        <v>0.4855</v>
      </c>
      <c r="M66" s="4">
        <v>0.1578</v>
      </c>
      <c r="N66" s="4">
        <v>0.6823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ht="15.75" customHeight="1">
      <c r="A67" s="5" t="s">
        <v>67</v>
      </c>
      <c r="B67" s="4" t="s">
        <v>68</v>
      </c>
      <c r="C67" s="6">
        <v>0.2857</v>
      </c>
      <c r="D67" s="6">
        <v>0.186</v>
      </c>
      <c r="E67" s="6">
        <v>0.625</v>
      </c>
      <c r="F67" s="4">
        <v>0.2222</v>
      </c>
      <c r="G67" s="4">
        <v>0.2109</v>
      </c>
      <c r="H67" s="4">
        <v>0.5</v>
      </c>
      <c r="I67" s="4">
        <v>0.2778</v>
      </c>
      <c r="J67" s="4">
        <v>0.2631</v>
      </c>
      <c r="K67" s="4">
        <v>0.5556</v>
      </c>
      <c r="L67" s="4">
        <v>0.2778</v>
      </c>
      <c r="M67" s="4">
        <v>0.2631</v>
      </c>
      <c r="N67" s="4">
        <v>0.5556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ht="15.75" customHeight="1">
      <c r="A68" s="5" t="s">
        <v>77</v>
      </c>
      <c r="B68" s="5" t="s">
        <v>78</v>
      </c>
      <c r="C68" s="6">
        <v>0.5</v>
      </c>
      <c r="D68" s="6">
        <v>0.3333</v>
      </c>
      <c r="E68" s="6">
        <v>0.75</v>
      </c>
      <c r="F68" s="4">
        <v>0.5</v>
      </c>
      <c r="G68" s="4">
        <v>0.3333</v>
      </c>
      <c r="H68" s="4">
        <v>0.75</v>
      </c>
      <c r="I68" s="4">
        <v>0.5</v>
      </c>
      <c r="J68" s="4">
        <v>0.3333</v>
      </c>
      <c r="K68" s="4">
        <v>0.75</v>
      </c>
      <c r="L68" s="4">
        <v>0.5</v>
      </c>
      <c r="M68" s="4">
        <v>0.3333</v>
      </c>
      <c r="N68" s="4">
        <v>0.75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ht="15.75" customHeight="1">
      <c r="A69" s="5" t="s">
        <v>79</v>
      </c>
      <c r="B69" s="4" t="s">
        <v>80</v>
      </c>
      <c r="C69" s="6">
        <v>0.1667</v>
      </c>
      <c r="D69" s="6">
        <v>0.0275</v>
      </c>
      <c r="E69" s="6">
        <v>0.5742</v>
      </c>
      <c r="F69" s="21">
        <v>0.2125</v>
      </c>
      <c r="G69" s="21">
        <v>0.133</v>
      </c>
      <c r="H69" s="21">
        <v>0.6269</v>
      </c>
      <c r="I69" s="21">
        <v>0.2125</v>
      </c>
      <c r="J69" s="21">
        <v>0.133</v>
      </c>
      <c r="K69" s="21">
        <v>0.6269</v>
      </c>
      <c r="L69" s="21">
        <v>0.2097</v>
      </c>
      <c r="M69" s="4">
        <v>0.1283</v>
      </c>
      <c r="N69" s="4">
        <v>0.5588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ht="15.75" customHeight="1">
      <c r="A70" s="5" t="s">
        <v>81</v>
      </c>
      <c r="B70" s="4" t="s">
        <v>82</v>
      </c>
      <c r="C70" s="6">
        <v>0.7778</v>
      </c>
      <c r="D70" s="6">
        <v>0.6317</v>
      </c>
      <c r="E70" s="6">
        <v>0.8889</v>
      </c>
      <c r="F70" s="21">
        <v>0.5333</v>
      </c>
      <c r="G70" s="21">
        <v>0.4899</v>
      </c>
      <c r="H70" s="21">
        <v>0.6906</v>
      </c>
      <c r="I70" s="21">
        <v>0.5333</v>
      </c>
      <c r="J70" s="21">
        <v>0.4902</v>
      </c>
      <c r="K70" s="21">
        <v>0.6799</v>
      </c>
      <c r="L70" s="21">
        <v>0.4444</v>
      </c>
      <c r="M70" s="4">
        <v>0.3926</v>
      </c>
      <c r="N70" s="4">
        <v>0.5203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ht="15.75" customHeight="1">
      <c r="A71" s="5" t="s">
        <v>105</v>
      </c>
      <c r="B71" s="4" t="s">
        <v>106</v>
      </c>
      <c r="C71" s="6">
        <v>0.7333</v>
      </c>
      <c r="D71" s="6">
        <v>0.4444</v>
      </c>
      <c r="E71" s="6">
        <v>0.8</v>
      </c>
      <c r="F71" s="21">
        <v>0.6667</v>
      </c>
      <c r="G71" s="21">
        <v>0.3232</v>
      </c>
      <c r="H71" s="21">
        <v>0.7145</v>
      </c>
      <c r="I71" s="21">
        <v>0.6367</v>
      </c>
      <c r="J71" s="21">
        <v>0.5407</v>
      </c>
      <c r="K71" s="21">
        <v>0.7636</v>
      </c>
      <c r="L71" s="21">
        <v>0.6667</v>
      </c>
      <c r="M71" s="4">
        <v>0.6407</v>
      </c>
      <c r="N71" s="4">
        <v>0.7781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ht="15.75" customHeight="1">
      <c r="A72" s="5" t="s">
        <v>122</v>
      </c>
      <c r="B72" s="4" t="s">
        <v>123</v>
      </c>
      <c r="C72" s="6">
        <v>0.4444</v>
      </c>
      <c r="D72" s="6">
        <v>0.2424</v>
      </c>
      <c r="E72" s="6">
        <v>0.7692</v>
      </c>
      <c r="F72" s="21">
        <v>0.2845</v>
      </c>
      <c r="G72" s="21">
        <v>0.1136</v>
      </c>
      <c r="H72" s="21">
        <v>0.5213</v>
      </c>
      <c r="I72" s="21">
        <v>0.3581</v>
      </c>
      <c r="J72" s="21">
        <v>0.0844</v>
      </c>
      <c r="K72" s="21">
        <v>0.6123</v>
      </c>
      <c r="L72" s="21">
        <v>0.4214</v>
      </c>
      <c r="M72" s="4">
        <v>0.2511</v>
      </c>
      <c r="N72" s="4">
        <v>0.7566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ht="15.75" customHeight="1">
      <c r="A73" s="5"/>
      <c r="B73" s="5"/>
      <c r="C73" s="5"/>
      <c r="D73" s="5"/>
      <c r="E73" s="5"/>
      <c r="F73" s="22"/>
      <c r="G73" s="22"/>
      <c r="H73" s="22"/>
      <c r="I73" s="22"/>
      <c r="J73" s="22"/>
      <c r="K73" s="22"/>
      <c r="L73" s="2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ht="15.75" customHeight="1">
      <c r="A74" s="5"/>
      <c r="B74" s="5"/>
      <c r="C74" s="19">
        <f t="shared" ref="C74:N74" si="22">SUM(C63:C72)/10</f>
        <v>0.49847</v>
      </c>
      <c r="D74" s="19">
        <f t="shared" si="22"/>
        <v>0.29203</v>
      </c>
      <c r="E74" s="19">
        <f t="shared" si="22"/>
        <v>0.68493</v>
      </c>
      <c r="F74" s="19">
        <f t="shared" si="22"/>
        <v>0.39118</v>
      </c>
      <c r="G74" s="19">
        <f t="shared" si="22"/>
        <v>0.21411</v>
      </c>
      <c r="H74" s="19">
        <f t="shared" si="22"/>
        <v>0.57589</v>
      </c>
      <c r="I74" s="19">
        <f t="shared" si="22"/>
        <v>0.40017</v>
      </c>
      <c r="J74" s="19">
        <f t="shared" si="22"/>
        <v>0.23405</v>
      </c>
      <c r="K74" s="19">
        <f t="shared" si="22"/>
        <v>0.59117</v>
      </c>
      <c r="L74" s="19">
        <f t="shared" si="22"/>
        <v>0.44364</v>
      </c>
      <c r="M74" s="19">
        <f t="shared" si="22"/>
        <v>0.29546</v>
      </c>
      <c r="N74" s="19">
        <f t="shared" si="22"/>
        <v>0.62599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ht="15.75" customHeight="1">
      <c r="A75" s="5"/>
      <c r="B75" s="5"/>
      <c r="C75" s="5"/>
      <c r="D75" s="5"/>
      <c r="E75" s="5"/>
      <c r="F75" s="22"/>
      <c r="G75" s="22"/>
      <c r="H75" s="22"/>
      <c r="I75" s="22"/>
      <c r="J75" s="22"/>
      <c r="K75" s="22"/>
      <c r="L75" s="2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ht="15.75" customHeight="1">
      <c r="A76" s="5"/>
      <c r="B76" s="5"/>
      <c r="C76" s="5"/>
      <c r="D76" s="5"/>
      <c r="E76" s="5"/>
      <c r="F76" s="22"/>
      <c r="G76" s="22"/>
      <c r="H76" s="22"/>
      <c r="I76" s="22"/>
      <c r="J76" s="22"/>
      <c r="K76" s="22"/>
      <c r="L76" s="2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ht="15.75" customHeight="1">
      <c r="A77" s="5"/>
      <c r="B77" s="5"/>
      <c r="C77" s="5"/>
      <c r="D77" s="5"/>
      <c r="E77" s="5"/>
      <c r="F77" s="22"/>
      <c r="G77" s="22"/>
      <c r="H77" s="22"/>
      <c r="I77" s="22"/>
      <c r="J77" s="22"/>
      <c r="K77" s="22"/>
      <c r="L77" s="2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ht="15.75" customHeight="1">
      <c r="A78" s="5"/>
      <c r="B78" s="5"/>
      <c r="C78" s="5"/>
      <c r="D78" s="5"/>
      <c r="E78" s="5"/>
      <c r="F78" s="22"/>
      <c r="G78" s="22"/>
      <c r="H78" s="22"/>
      <c r="I78" s="22"/>
      <c r="J78" s="22"/>
      <c r="K78" s="22"/>
      <c r="L78" s="2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ht="15.75" customHeight="1">
      <c r="A79" s="5"/>
      <c r="B79" s="5"/>
      <c r="C79" s="5"/>
      <c r="D79" s="5"/>
      <c r="E79" s="5"/>
      <c r="F79" s="22"/>
      <c r="G79" s="22"/>
      <c r="H79" s="22"/>
      <c r="I79" s="22"/>
      <c r="J79" s="22"/>
      <c r="K79" s="22"/>
      <c r="L79" s="2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ht="15.75" customHeight="1">
      <c r="A80" s="5"/>
      <c r="B80" s="5"/>
      <c r="C80" s="5"/>
      <c r="D80" s="5"/>
      <c r="E80" s="5"/>
      <c r="F80" s="22"/>
      <c r="G80" s="22"/>
      <c r="H80" s="22"/>
      <c r="I80" s="22"/>
      <c r="J80" s="22"/>
      <c r="K80" s="22"/>
      <c r="L80" s="2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ht="15.75" customHeight="1">
      <c r="A81" s="5"/>
      <c r="B81" s="5"/>
      <c r="C81" s="5"/>
      <c r="D81" s="5"/>
      <c r="E81" s="5"/>
      <c r="F81" s="22"/>
      <c r="G81" s="22"/>
      <c r="H81" s="22"/>
      <c r="I81" s="22"/>
      <c r="J81" s="22"/>
      <c r="K81" s="22"/>
      <c r="L81" s="2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ht="15.75" customHeight="1">
      <c r="A82" s="5"/>
      <c r="B82" s="5"/>
      <c r="C82" s="5"/>
      <c r="D82" s="5"/>
      <c r="E82" s="5"/>
      <c r="F82" s="22"/>
      <c r="G82" s="22"/>
      <c r="H82" s="22"/>
      <c r="I82" s="22"/>
      <c r="J82" s="22"/>
      <c r="K82" s="22"/>
      <c r="L82" s="2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ht="15.75" customHeight="1">
      <c r="A83" s="5"/>
      <c r="B83" s="5"/>
      <c r="C83" s="5"/>
      <c r="D83" s="5"/>
      <c r="E83" s="5"/>
      <c r="F83" s="22"/>
      <c r="G83" s="22"/>
      <c r="H83" s="22"/>
      <c r="I83" s="22"/>
      <c r="J83" s="22"/>
      <c r="K83" s="22"/>
      <c r="L83" s="2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ht="15.75" customHeight="1">
      <c r="A84" s="5"/>
      <c r="B84" s="5"/>
      <c r="C84" s="5"/>
      <c r="D84" s="5"/>
      <c r="E84" s="5"/>
      <c r="F84" s="22"/>
      <c r="G84" s="22"/>
      <c r="H84" s="22"/>
      <c r="I84" s="22"/>
      <c r="J84" s="22"/>
      <c r="K84" s="22"/>
      <c r="L84" s="2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ht="15.75" customHeight="1">
      <c r="A85" s="5"/>
      <c r="B85" s="5"/>
      <c r="C85" s="5"/>
      <c r="D85" s="5"/>
      <c r="E85" s="5"/>
      <c r="F85" s="22"/>
      <c r="G85" s="22"/>
      <c r="H85" s="22"/>
      <c r="I85" s="22"/>
      <c r="J85" s="22"/>
      <c r="K85" s="22"/>
      <c r="L85" s="22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ht="15.75" customHeight="1">
      <c r="A86" s="5"/>
      <c r="B86" s="5"/>
      <c r="C86" s="5"/>
      <c r="D86" s="5"/>
      <c r="E86" s="5"/>
      <c r="F86" s="22"/>
      <c r="G86" s="22"/>
      <c r="H86" s="22"/>
      <c r="I86" s="22"/>
      <c r="J86" s="22"/>
      <c r="K86" s="22"/>
      <c r="L86" s="2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ht="15.75" customHeight="1">
      <c r="A87" s="5"/>
      <c r="B87" s="5"/>
      <c r="C87" s="5"/>
      <c r="D87" s="5"/>
      <c r="E87" s="5"/>
      <c r="F87" s="22"/>
      <c r="G87" s="22"/>
      <c r="H87" s="22"/>
      <c r="I87" s="22"/>
      <c r="J87" s="22"/>
      <c r="K87" s="22"/>
      <c r="L87" s="2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ht="15.75" customHeight="1">
      <c r="A88" s="5"/>
      <c r="B88" s="5"/>
      <c r="C88" s="5"/>
      <c r="D88" s="5"/>
      <c r="E88" s="5"/>
      <c r="F88" s="22"/>
      <c r="G88" s="22"/>
      <c r="H88" s="22"/>
      <c r="I88" s="22"/>
      <c r="J88" s="22"/>
      <c r="K88" s="22"/>
      <c r="L88" s="2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ht="15.75" customHeight="1">
      <c r="A89" s="5"/>
      <c r="B89" s="5"/>
      <c r="C89" s="5"/>
      <c r="D89" s="5"/>
      <c r="E89" s="5"/>
      <c r="F89" s="22"/>
      <c r="G89" s="22"/>
      <c r="H89" s="22"/>
      <c r="I89" s="22"/>
      <c r="J89" s="22"/>
      <c r="K89" s="22"/>
      <c r="L89" s="2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ht="15.75" customHeight="1">
      <c r="A90" s="5"/>
      <c r="B90" s="5"/>
      <c r="C90" s="5"/>
      <c r="D90" s="5"/>
      <c r="E90" s="5"/>
      <c r="F90" s="22"/>
      <c r="G90" s="22"/>
      <c r="H90" s="22"/>
      <c r="I90" s="22"/>
      <c r="J90" s="22"/>
      <c r="K90" s="22"/>
      <c r="L90" s="2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ht="15.75" customHeight="1">
      <c r="A91" s="5"/>
      <c r="B91" s="5"/>
      <c r="C91" s="5"/>
      <c r="D91" s="5"/>
      <c r="E91" s="5"/>
      <c r="F91" s="22"/>
      <c r="G91" s="22"/>
      <c r="H91" s="22"/>
      <c r="I91" s="22"/>
      <c r="J91" s="22"/>
      <c r="K91" s="22"/>
      <c r="L91" s="2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ht="15.75" customHeight="1">
      <c r="A92" s="5"/>
      <c r="B92" s="5"/>
      <c r="C92" s="5"/>
      <c r="D92" s="5"/>
      <c r="E92" s="5"/>
      <c r="F92" s="22"/>
      <c r="G92" s="22"/>
      <c r="H92" s="22"/>
      <c r="I92" s="22"/>
      <c r="J92" s="22"/>
      <c r="K92" s="22"/>
      <c r="L92" s="2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ht="15.75" customHeight="1">
      <c r="A93" s="5"/>
      <c r="B93" s="5"/>
      <c r="C93" s="5"/>
      <c r="D93" s="5"/>
      <c r="E93" s="5"/>
      <c r="F93" s="22"/>
      <c r="G93" s="22"/>
      <c r="H93" s="22"/>
      <c r="I93" s="22"/>
      <c r="J93" s="22"/>
      <c r="K93" s="22"/>
      <c r="L93" s="2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ht="15.75" customHeight="1">
      <c r="A94" s="5"/>
      <c r="B94" s="5"/>
      <c r="C94" s="5"/>
      <c r="D94" s="5"/>
      <c r="E94" s="5"/>
      <c r="F94" s="22"/>
      <c r="G94" s="22"/>
      <c r="H94" s="22"/>
      <c r="I94" s="22"/>
      <c r="J94" s="22"/>
      <c r="K94" s="22"/>
      <c r="L94" s="2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ht="15.75" customHeight="1">
      <c r="A95" s="5"/>
      <c r="B95" s="5"/>
      <c r="C95" s="5"/>
      <c r="D95" s="5"/>
      <c r="E95" s="5"/>
      <c r="F95" s="22"/>
      <c r="G95" s="22"/>
      <c r="H95" s="22"/>
      <c r="I95" s="22"/>
      <c r="J95" s="22"/>
      <c r="K95" s="22"/>
      <c r="L95" s="2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ht="15.75" customHeight="1">
      <c r="A96" s="5"/>
      <c r="B96" s="5"/>
      <c r="C96" s="5"/>
      <c r="D96" s="5"/>
      <c r="E96" s="5"/>
      <c r="F96" s="22"/>
      <c r="G96" s="22"/>
      <c r="H96" s="22"/>
      <c r="I96" s="22"/>
      <c r="J96" s="22"/>
      <c r="K96" s="22"/>
      <c r="L96" s="2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ht="15.75" customHeight="1">
      <c r="A97" s="5"/>
      <c r="B97" s="5"/>
      <c r="C97" s="5"/>
      <c r="D97" s="5"/>
      <c r="E97" s="5"/>
      <c r="F97" s="22"/>
      <c r="G97" s="22"/>
      <c r="H97" s="22"/>
      <c r="I97" s="22"/>
      <c r="J97" s="22"/>
      <c r="K97" s="22"/>
      <c r="L97" s="22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ht="15.75" customHeight="1">
      <c r="A98" s="5"/>
      <c r="B98" s="5"/>
      <c r="C98" s="5"/>
      <c r="D98" s="5"/>
      <c r="E98" s="5"/>
      <c r="F98" s="22"/>
      <c r="G98" s="22"/>
      <c r="H98" s="22"/>
      <c r="I98" s="22"/>
      <c r="J98" s="22"/>
      <c r="K98" s="22"/>
      <c r="L98" s="2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ht="15.75" customHeight="1">
      <c r="A99" s="5"/>
      <c r="B99" s="5"/>
      <c r="C99" s="5"/>
      <c r="D99" s="5"/>
      <c r="E99" s="5"/>
      <c r="F99" s="22"/>
      <c r="G99" s="22"/>
      <c r="H99" s="22"/>
      <c r="I99" s="22"/>
      <c r="J99" s="22"/>
      <c r="K99" s="22"/>
      <c r="L99" s="22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ht="15.75" customHeight="1">
      <c r="A100" s="5"/>
      <c r="B100" s="5"/>
      <c r="C100" s="5"/>
      <c r="D100" s="5"/>
      <c r="E100" s="5"/>
      <c r="F100" s="22"/>
      <c r="G100" s="22"/>
      <c r="H100" s="22"/>
      <c r="I100" s="22"/>
      <c r="J100" s="22"/>
      <c r="K100" s="22"/>
      <c r="L100" s="2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ht="15.75" customHeight="1">
      <c r="A101" s="5"/>
      <c r="B101" s="5"/>
      <c r="C101" s="5"/>
      <c r="D101" s="5"/>
      <c r="E101" s="5"/>
      <c r="F101" s="22"/>
      <c r="G101" s="22"/>
      <c r="H101" s="22"/>
      <c r="I101" s="22"/>
      <c r="J101" s="22"/>
      <c r="K101" s="22"/>
      <c r="L101" s="22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ht="15.75" customHeight="1">
      <c r="A102" s="5"/>
      <c r="B102" s="5"/>
      <c r="C102" s="5"/>
      <c r="D102" s="5"/>
      <c r="E102" s="5"/>
      <c r="F102" s="22"/>
      <c r="G102" s="22"/>
      <c r="H102" s="22"/>
      <c r="I102" s="22"/>
      <c r="J102" s="22"/>
      <c r="K102" s="22"/>
      <c r="L102" s="2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ht="15.75" customHeight="1">
      <c r="A103" s="5"/>
      <c r="B103" s="5"/>
      <c r="C103" s="5"/>
      <c r="D103" s="5"/>
      <c r="E103" s="5"/>
      <c r="F103" s="22"/>
      <c r="G103" s="22"/>
      <c r="H103" s="22"/>
      <c r="I103" s="22"/>
      <c r="J103" s="22"/>
      <c r="K103" s="22"/>
      <c r="L103" s="2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ht="15.75" customHeight="1">
      <c r="A104" s="5"/>
      <c r="B104" s="5"/>
      <c r="C104" s="5"/>
      <c r="D104" s="5"/>
      <c r="E104" s="5"/>
      <c r="F104" s="22"/>
      <c r="G104" s="22"/>
      <c r="H104" s="22"/>
      <c r="I104" s="22"/>
      <c r="J104" s="22"/>
      <c r="K104" s="22"/>
      <c r="L104" s="2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ht="15.75" customHeight="1">
      <c r="A105" s="5"/>
      <c r="B105" s="5"/>
      <c r="C105" s="5"/>
      <c r="D105" s="5"/>
      <c r="E105" s="5"/>
      <c r="F105" s="22"/>
      <c r="G105" s="22"/>
      <c r="H105" s="22"/>
      <c r="I105" s="22"/>
      <c r="J105" s="22"/>
      <c r="K105" s="22"/>
      <c r="L105" s="2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ht="15.75" customHeight="1">
      <c r="A106" s="5"/>
      <c r="B106" s="5"/>
      <c r="C106" s="5"/>
      <c r="D106" s="5"/>
      <c r="E106" s="5"/>
      <c r="F106" s="22"/>
      <c r="G106" s="22"/>
      <c r="H106" s="22"/>
      <c r="I106" s="22"/>
      <c r="J106" s="22"/>
      <c r="K106" s="22"/>
      <c r="L106" s="2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ht="15.75" customHeight="1">
      <c r="A107" s="5"/>
      <c r="B107" s="5"/>
      <c r="C107" s="5"/>
      <c r="D107" s="5"/>
      <c r="E107" s="5"/>
      <c r="F107" s="22"/>
      <c r="G107" s="22"/>
      <c r="H107" s="22"/>
      <c r="I107" s="22"/>
      <c r="J107" s="22"/>
      <c r="K107" s="22"/>
      <c r="L107" s="2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ht="15.75" customHeight="1">
      <c r="A108" s="5"/>
      <c r="B108" s="5"/>
      <c r="C108" s="5"/>
      <c r="D108" s="5"/>
      <c r="E108" s="5"/>
      <c r="F108" s="22"/>
      <c r="G108" s="22"/>
      <c r="H108" s="22"/>
      <c r="I108" s="22"/>
      <c r="J108" s="22"/>
      <c r="K108" s="22"/>
      <c r="L108" s="2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ht="15.75" customHeight="1">
      <c r="A109" s="5"/>
      <c r="B109" s="5"/>
      <c r="C109" s="5"/>
      <c r="D109" s="5"/>
      <c r="E109" s="5"/>
      <c r="F109" s="22"/>
      <c r="G109" s="22"/>
      <c r="H109" s="22"/>
      <c r="I109" s="22"/>
      <c r="J109" s="22"/>
      <c r="K109" s="22"/>
      <c r="L109" s="2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</sheetData>
  <mergeCells count="4">
    <mergeCell ref="C61:E61"/>
    <mergeCell ref="F61:H61"/>
    <mergeCell ref="I61:K61"/>
    <mergeCell ref="L61:N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2025-12-10T16:03:21Z</dcterms:created>
  <dc:creator>GEORGIOS MANTZOROS</dc:creator>
</cp:coreProperties>
</file>